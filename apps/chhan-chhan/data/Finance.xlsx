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5"/>
    <sheet state="visible" name="Chart Table" sheetId="2" r:id="rId6"/>
    <sheet state="visible" name="Charts" sheetId="3" r:id="rId7"/>
    <sheet state="visible" name="Billings" sheetId="4" r:id="rId8"/>
    <sheet state="visible" name="Pivots" sheetId="5" r:id="rId9"/>
  </sheets>
  <definedNames>
    <definedName hidden="1" localSheetId="0" name="_xlnm._FilterDatabase">Main!$A$1:$H$1032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<sst xmlns="http://schemas.openxmlformats.org/spreadsheetml/2006/main" count="3065" uniqueCount="421">
  <si>
    <t>Index</t>
  </si>
  <si>
    <t>Date</t>
  </si>
  <si>
    <t>Category</t>
  </si>
  <si>
    <t>Sub Category</t>
  </si>
  <si>
    <t>Notes</t>
  </si>
  <si>
    <t>Groups</t>
  </si>
  <si>
    <t>Month</t>
  </si>
  <si>
    <t>Year</t>
  </si>
  <si>
    <t>Year-Month</t>
  </si>
  <si>
    <t>Misc</t>
  </si>
  <si>
    <t>Personal</t>
  </si>
  <si>
    <t>License</t>
  </si>
  <si>
    <t>Lend</t>
  </si>
  <si>
    <t>Others</t>
  </si>
  <si>
    <t>Snehith</t>
  </si>
  <si>
    <t>G6</t>
  </si>
  <si>
    <t>Shop</t>
  </si>
  <si>
    <t>Convocation Shirt</t>
  </si>
  <si>
    <t>Food</t>
  </si>
  <si>
    <t>Truffles Order</t>
  </si>
  <si>
    <t>Family</t>
  </si>
  <si>
    <t>Mom's Kitty</t>
  </si>
  <si>
    <t>Fuel</t>
  </si>
  <si>
    <t>Scooty</t>
  </si>
  <si>
    <t>Split Return</t>
  </si>
  <si>
    <t>Bhavye Ticket</t>
  </si>
  <si>
    <t>Chat</t>
  </si>
  <si>
    <t>Muskan</t>
  </si>
  <si>
    <t>Pant Project</t>
  </si>
  <si>
    <t>Shreyas Gift</t>
  </si>
  <si>
    <t>Imtiyaz, Shreyas Gift</t>
  </si>
  <si>
    <t>Travel</t>
  </si>
  <si>
    <t>Auto</t>
  </si>
  <si>
    <t>TEDx Photos</t>
  </si>
  <si>
    <t>Lunch</t>
  </si>
  <si>
    <t>Transfer</t>
  </si>
  <si>
    <t>Father</t>
  </si>
  <si>
    <t>Mandala Frame</t>
  </si>
  <si>
    <t>Fun</t>
  </si>
  <si>
    <t>Personal, Others</t>
  </si>
  <si>
    <t>Kanva Camp</t>
  </si>
  <si>
    <t>G1</t>
  </si>
  <si>
    <t>Power bank</t>
  </si>
  <si>
    <t>Muskaan</t>
  </si>
  <si>
    <t>Metro</t>
  </si>
  <si>
    <t>Bhavye Lebanese</t>
  </si>
  <si>
    <t>G2</t>
  </si>
  <si>
    <t>Bhavye Mirinda</t>
  </si>
  <si>
    <t>Trip Snacks</t>
  </si>
  <si>
    <t>Monthly Bill</t>
  </si>
  <si>
    <t>Netflix</t>
  </si>
  <si>
    <t>G5</t>
  </si>
  <si>
    <t>Oia After Kanva</t>
  </si>
  <si>
    <t>G7</t>
  </si>
  <si>
    <t>Eatables</t>
  </si>
  <si>
    <t>Haircut</t>
  </si>
  <si>
    <t>hairspray</t>
  </si>
  <si>
    <t>Maize &amp; Malt</t>
  </si>
  <si>
    <t>G3</t>
  </si>
  <si>
    <t>Vishnu</t>
  </si>
  <si>
    <t>Mohit</t>
  </si>
  <si>
    <t>Imtiyaz</t>
  </si>
  <si>
    <t>Mafaaz</t>
  </si>
  <si>
    <t>Harshit + Himannshu</t>
  </si>
  <si>
    <t>Cab</t>
  </si>
  <si>
    <t>G4</t>
  </si>
  <si>
    <t>Go Cart</t>
  </si>
  <si>
    <t>Biryani Lunch</t>
  </si>
  <si>
    <t>Shorts + Milk</t>
  </si>
  <si>
    <t>Rishabh</t>
  </si>
  <si>
    <t>Manit</t>
  </si>
  <si>
    <t>G1 / G4 / G7</t>
  </si>
  <si>
    <t>Bhavye</t>
  </si>
  <si>
    <t>G1 / G2 / G4 / G5 / G7</t>
  </si>
  <si>
    <t>Airport Coffee</t>
  </si>
  <si>
    <t>Sarthak</t>
  </si>
  <si>
    <t>G1 / G7</t>
  </si>
  <si>
    <t>Gautam</t>
  </si>
  <si>
    <t>Tax Return</t>
  </si>
  <si>
    <t>FY 23-24</t>
  </si>
  <si>
    <t>SIP</t>
  </si>
  <si>
    <t>Phone + Wifi</t>
  </si>
  <si>
    <t>Uniqlo</t>
  </si>
  <si>
    <t>Tamanna</t>
  </si>
  <si>
    <t>G9</t>
  </si>
  <si>
    <t>PVR</t>
  </si>
  <si>
    <t>Train Pizza</t>
  </si>
  <si>
    <t>Muskan Samosa Party</t>
  </si>
  <si>
    <t>TV</t>
  </si>
  <si>
    <t>Hannah</t>
  </si>
  <si>
    <t>Village Pizza</t>
  </si>
  <si>
    <t>Snacks</t>
  </si>
  <si>
    <t>Train Food</t>
  </si>
  <si>
    <t>Farzi Cafe</t>
  </si>
  <si>
    <t>Airport</t>
  </si>
  <si>
    <t>Ice Cream</t>
  </si>
  <si>
    <t>Clothes</t>
  </si>
  <si>
    <t>Utensils</t>
  </si>
  <si>
    <t>Zara Shirt</t>
  </si>
  <si>
    <t>Bike</t>
  </si>
  <si>
    <t>Metro Card</t>
  </si>
  <si>
    <t>Salary</t>
  </si>
  <si>
    <t>Samosa</t>
  </si>
  <si>
    <t>Cake</t>
  </si>
  <si>
    <t>Oia Family</t>
  </si>
  <si>
    <t>Lend Return</t>
  </si>
  <si>
    <t>Shivasamudra</t>
  </si>
  <si>
    <t>Bisleri</t>
  </si>
  <si>
    <t>Harshit Watch</t>
  </si>
  <si>
    <t>Harshit Ice Cream</t>
  </si>
  <si>
    <t>Airtel</t>
  </si>
  <si>
    <t>Tea</t>
  </si>
  <si>
    <t>Debit Card</t>
  </si>
  <si>
    <t>Water Bottle</t>
  </si>
  <si>
    <t>Movie</t>
  </si>
  <si>
    <t>Office Lunch</t>
  </si>
  <si>
    <t>Movie Lunch</t>
  </si>
  <si>
    <t>Pizza</t>
  </si>
  <si>
    <t>Youtube</t>
  </si>
  <si>
    <t>Harshit</t>
  </si>
  <si>
    <t>Office Return</t>
  </si>
  <si>
    <t>Pizza Return</t>
  </si>
  <si>
    <t>Flight</t>
  </si>
  <si>
    <t>Bag</t>
  </si>
  <si>
    <t>Pizza Hut</t>
  </si>
  <si>
    <t>Parking</t>
  </si>
  <si>
    <t>Navratri</t>
  </si>
  <si>
    <t>Roshani</t>
  </si>
  <si>
    <t>Rishabh YT</t>
  </si>
  <si>
    <t>Water</t>
  </si>
  <si>
    <t>Airport Breakfast</t>
  </si>
  <si>
    <t>Muskan Jacket</t>
  </si>
  <si>
    <t>G10</t>
  </si>
  <si>
    <t>Winter Pants</t>
  </si>
  <si>
    <t>Shakes</t>
  </si>
  <si>
    <t>Bke</t>
  </si>
  <si>
    <t>Personal, Others, Family</t>
  </si>
  <si>
    <t>Shoes</t>
  </si>
  <si>
    <t>G11</t>
  </si>
  <si>
    <t>Dinner</t>
  </si>
  <si>
    <t>G10 / G11</t>
  </si>
  <si>
    <t>Ashu Bhaiya</t>
  </si>
  <si>
    <t>YouTube</t>
  </si>
  <si>
    <t>G12</t>
  </si>
  <si>
    <t xml:space="preserve">Decathlon </t>
  </si>
  <si>
    <t>Glasses</t>
  </si>
  <si>
    <t xml:space="preserve">Kaza Shop </t>
  </si>
  <si>
    <t>Personal, Family</t>
  </si>
  <si>
    <t>Spiti Payment</t>
  </si>
  <si>
    <t>Yearly Bill</t>
  </si>
  <si>
    <t>Google One</t>
  </si>
  <si>
    <t>Rose Di</t>
  </si>
  <si>
    <t>Suitcase + Tshirt</t>
  </si>
  <si>
    <t>G13</t>
  </si>
  <si>
    <t>Trip Split</t>
  </si>
  <si>
    <t>Barber</t>
  </si>
  <si>
    <t>Bowling</t>
  </si>
  <si>
    <t>Zepto Cable &amp; Towels</t>
  </si>
  <si>
    <t>Yearbook Papers</t>
  </si>
  <si>
    <t>G14</t>
  </si>
  <si>
    <t>Yearbook A5 Sample</t>
  </si>
  <si>
    <t>Personal, Family, Others</t>
  </si>
  <si>
    <t>Airtel Postpaid + Wifi</t>
  </si>
  <si>
    <t>Blinkit</t>
  </si>
  <si>
    <t>Bhavye Netlifx</t>
  </si>
  <si>
    <t>Stop n Shop</t>
  </si>
  <si>
    <t>Zudio Clothes</t>
  </si>
  <si>
    <t>Yearbook Sample</t>
  </si>
  <si>
    <t>RTO</t>
  </si>
  <si>
    <t>Google</t>
  </si>
  <si>
    <t>Yearbook Master</t>
  </si>
  <si>
    <t>Doc Print</t>
  </si>
  <si>
    <t>Aadhar</t>
  </si>
  <si>
    <t>Cheque Book</t>
  </si>
  <si>
    <t>Souled Store</t>
  </si>
  <si>
    <t>Amazon Prime</t>
  </si>
  <si>
    <t>Suitcase</t>
  </si>
  <si>
    <t>Keyboard</t>
  </si>
  <si>
    <t>Lotions</t>
  </si>
  <si>
    <t>Document Print</t>
  </si>
  <si>
    <t>Document Parcel</t>
  </si>
  <si>
    <t>Parcel Tip</t>
  </si>
  <si>
    <t>Amazon refund</t>
  </si>
  <si>
    <t>Tedx Epoch Team Day</t>
  </si>
  <si>
    <t>Yearbook</t>
  </si>
  <si>
    <t>Donation</t>
  </si>
  <si>
    <t>DL Expense</t>
  </si>
  <si>
    <t>Grocery</t>
  </si>
  <si>
    <t>Yearbook Meetup</t>
  </si>
  <si>
    <t>Aishwarya</t>
  </si>
  <si>
    <t>Himanshu</t>
  </si>
  <si>
    <t>Duolingo</t>
  </si>
  <si>
    <t>Sanjana</t>
  </si>
  <si>
    <t>Interest</t>
  </si>
  <si>
    <t>Family, Personal</t>
  </si>
  <si>
    <t>Mouse</t>
  </si>
  <si>
    <t>Muskan Phone</t>
  </si>
  <si>
    <t>Powerbank</t>
  </si>
  <si>
    <t>Website</t>
  </si>
  <si>
    <t>Print</t>
  </si>
  <si>
    <t>Breakfast</t>
  </si>
  <si>
    <t>Bhavye Netflix</t>
  </si>
  <si>
    <t>Rishabh Netflix</t>
  </si>
  <si>
    <t>Interstellar</t>
  </si>
  <si>
    <t>Tshirts</t>
  </si>
  <si>
    <t>Lal Bagh</t>
  </si>
  <si>
    <t>Car</t>
  </si>
  <si>
    <t>Pants</t>
  </si>
  <si>
    <t>Himture</t>
  </si>
  <si>
    <t>Earphones</t>
  </si>
  <si>
    <t>SonyLiv</t>
  </si>
  <si>
    <t>Urbanclap</t>
  </si>
  <si>
    <t>TEDx</t>
  </si>
  <si>
    <t>PowerBank</t>
  </si>
  <si>
    <t>Anushka</t>
  </si>
  <si>
    <t>Cash Deposit Tax</t>
  </si>
  <si>
    <t>JioHotstar</t>
  </si>
  <si>
    <t>ToothBrush</t>
  </si>
  <si>
    <t>YT Rishabh</t>
  </si>
  <si>
    <t>Xbox</t>
  </si>
  <si>
    <t>Cable</t>
  </si>
  <si>
    <t>Bhavye Game</t>
  </si>
  <si>
    <t>Rishabh Game</t>
  </si>
  <si>
    <t>Pizza TEDx</t>
  </si>
  <si>
    <t>Bonus</t>
  </si>
  <si>
    <t>Nobroker</t>
  </si>
  <si>
    <t>Talent Food</t>
  </si>
  <si>
    <t>Rent</t>
  </si>
  <si>
    <t>Flat</t>
  </si>
  <si>
    <t>Airtel Sim</t>
  </si>
  <si>
    <t>Porter</t>
  </si>
  <si>
    <t>Airtel DTH</t>
  </si>
  <si>
    <t>Gas Connection</t>
  </si>
  <si>
    <t>Truck</t>
  </si>
  <si>
    <t>Zomato</t>
  </si>
  <si>
    <t>Dominos</t>
  </si>
  <si>
    <t>Iron</t>
  </si>
  <si>
    <t>Fridge</t>
  </si>
  <si>
    <t>EatClub</t>
  </si>
  <si>
    <t>Washing Machine</t>
  </si>
  <si>
    <t>Star Bazaar</t>
  </si>
  <si>
    <t>Dmart</t>
  </si>
  <si>
    <t>Smart Bazaar</t>
  </si>
  <si>
    <t>Table</t>
  </si>
  <si>
    <t>Zepto</t>
  </si>
  <si>
    <t>Vishal Mega Mart</t>
  </si>
  <si>
    <t>Licious</t>
  </si>
  <si>
    <t>Milk</t>
  </si>
  <si>
    <t>Amazon</t>
  </si>
  <si>
    <t>Arogaya</t>
  </si>
  <si>
    <t>Tacobell</t>
  </si>
  <si>
    <t>Airtel Prepaid</t>
  </si>
  <si>
    <t>Groceries</t>
  </si>
  <si>
    <t>Tomato</t>
  </si>
  <si>
    <t>Motorola Edge 60 pro</t>
  </si>
  <si>
    <t>Lovable</t>
  </si>
  <si>
    <t>Punjabi Rasoi</t>
  </si>
  <si>
    <t>Uber</t>
  </si>
  <si>
    <t>Taco Bell</t>
  </si>
  <si>
    <t>Mother</t>
  </si>
  <si>
    <t>Zudio</t>
  </si>
  <si>
    <t>Mr DIY</t>
  </si>
  <si>
    <t>Hotstar</t>
  </si>
  <si>
    <t>Samosa Party</t>
  </si>
  <si>
    <t>Rohit</t>
  </si>
  <si>
    <t>Office Pizza</t>
  </si>
  <si>
    <t>Anurag</t>
  </si>
  <si>
    <t>Jeevitesh</t>
  </si>
  <si>
    <t>Amaan</t>
  </si>
  <si>
    <t>Ice cream</t>
  </si>
  <si>
    <t>Youtube Premium</t>
  </si>
  <si>
    <t>Office Zomato</t>
  </si>
  <si>
    <t>eRupee</t>
  </si>
  <si>
    <t xml:space="preserve">Salary + Hackathon </t>
  </si>
  <si>
    <t>Namaste</t>
  </si>
  <si>
    <t>Asha Tiffins</t>
  </si>
  <si>
    <t>Gym Subscription</t>
  </si>
  <si>
    <t>Scooty Service</t>
  </si>
  <si>
    <t>Refund</t>
  </si>
  <si>
    <t>Sakshi Gift</t>
  </si>
  <si>
    <t>Srinidhi + Sanchi</t>
  </si>
  <si>
    <t>MyMarket</t>
  </si>
  <si>
    <t>Arogya</t>
  </si>
  <si>
    <t>Wifi</t>
  </si>
  <si>
    <t>LovePreet</t>
  </si>
  <si>
    <t>Standup</t>
  </si>
  <si>
    <t>Udupi</t>
  </si>
  <si>
    <t>Rapido</t>
  </si>
  <si>
    <t>California Burrito</t>
  </si>
  <si>
    <t>Kaustav</t>
  </si>
  <si>
    <t>Tallect Refund</t>
  </si>
  <si>
    <t>Bharath</t>
  </si>
  <si>
    <t>Lovepreet</t>
  </si>
  <si>
    <t>Burger King</t>
  </si>
  <si>
    <t>Empire Dinner</t>
  </si>
  <si>
    <t>Abhishek</t>
  </si>
  <si>
    <t>Prit</t>
  </si>
  <si>
    <t>California Burrito bhavye</t>
  </si>
  <si>
    <t>Nishit Khanna</t>
  </si>
  <si>
    <t>Babbai</t>
  </si>
  <si>
    <t>Aayushi</t>
  </si>
  <si>
    <t>Shawarma</t>
  </si>
  <si>
    <t>Juice</t>
  </si>
  <si>
    <t>Binkit</t>
  </si>
  <si>
    <t>Swiggy</t>
  </si>
  <si>
    <t>Kebab Maker</t>
  </si>
  <si>
    <t>GoPizza</t>
  </si>
  <si>
    <t>High Street</t>
  </si>
  <si>
    <t>Wayanad Trip</t>
  </si>
  <si>
    <t>Netfix</t>
  </si>
  <si>
    <t>Babai</t>
  </si>
  <si>
    <t>Brahma Cafe</t>
  </si>
  <si>
    <t>Naman</t>
  </si>
  <si>
    <t>Others, Personal</t>
  </si>
  <si>
    <t>ISH</t>
  </si>
  <si>
    <t>Printo</t>
  </si>
  <si>
    <t>Pune Flight</t>
  </si>
  <si>
    <t>August</t>
  </si>
  <si>
    <t>Rasheed</t>
  </si>
  <si>
    <t>Prithvi</t>
  </si>
  <si>
    <t>Office</t>
  </si>
  <si>
    <t>Nishit Gupta</t>
  </si>
  <si>
    <t>zomato</t>
  </si>
  <si>
    <t>Sneha</t>
  </si>
  <si>
    <t>Pune</t>
  </si>
  <si>
    <t>Cashback</t>
  </si>
  <si>
    <t>Medicine</t>
  </si>
  <si>
    <t>Dr. Renu</t>
  </si>
  <si>
    <t>Orange Labs</t>
  </si>
  <si>
    <t>Apollo Pharmacy</t>
  </si>
  <si>
    <t>Wallet</t>
  </si>
  <si>
    <t>HSR High Street</t>
  </si>
  <si>
    <t>Tip</t>
  </si>
  <si>
    <t>Salon</t>
  </si>
  <si>
    <t>Electricity Bill</t>
  </si>
  <si>
    <t>Bike Rent / Nelagiri</t>
  </si>
  <si>
    <t>California Burrito / Yelagiri</t>
  </si>
  <si>
    <t>Yelagiri</t>
  </si>
  <si>
    <t>Peters Restaurant / Yelagiri</t>
  </si>
  <si>
    <t>Bike Rent / Yelagiri</t>
  </si>
  <si>
    <t>StarBazaar</t>
  </si>
  <si>
    <t>Lokah</t>
  </si>
  <si>
    <t>Demon Slayer</t>
  </si>
  <si>
    <t>McD</t>
  </si>
  <si>
    <t>Debit Card Fee</t>
  </si>
  <si>
    <t>Harshit Yelagiri</t>
  </si>
  <si>
    <t>Prathmesh</t>
  </si>
  <si>
    <t>Pradeep</t>
  </si>
  <si>
    <t>Vijay</t>
  </si>
  <si>
    <t>TT</t>
  </si>
  <si>
    <t>Prem Yelagiri</t>
  </si>
  <si>
    <t>Babai Tiffins</t>
  </si>
  <si>
    <t>Firos</t>
  </si>
  <si>
    <t>GrowFit</t>
  </si>
  <si>
    <t>Cursor</t>
  </si>
  <si>
    <t>Shreyas</t>
  </si>
  <si>
    <t>Unique Ref</t>
  </si>
  <si>
    <t>Starter</t>
  </si>
  <si>
    <t>Total Debit</t>
  </si>
  <si>
    <t>Total Credit</t>
  </si>
  <si>
    <t>Desert</t>
  </si>
  <si>
    <t>2024 - 9</t>
  </si>
  <si>
    <t>2024 - 10</t>
  </si>
  <si>
    <t>2024 - 11</t>
  </si>
  <si>
    <t>2024 - 12</t>
  </si>
  <si>
    <t>2025 - 1</t>
  </si>
  <si>
    <t>2025 - 2</t>
  </si>
  <si>
    <t>2025 - 3</t>
  </si>
  <si>
    <t>2025 - 4</t>
  </si>
  <si>
    <t>2025 - 5</t>
  </si>
  <si>
    <t>2025 - 6</t>
  </si>
  <si>
    <t>2025 - 7</t>
  </si>
  <si>
    <t>2025 - 8</t>
  </si>
  <si>
    <t>2025 - 9</t>
  </si>
  <si>
    <t/>
  </si>
  <si>
    <t>Platform</t>
  </si>
  <si>
    <t>Status</t>
  </si>
  <si>
    <t>Type</t>
  </si>
  <si>
    <t>Cost</t>
  </si>
  <si>
    <t>Per Month</t>
  </si>
  <si>
    <t>Per Year</t>
  </si>
  <si>
    <t>Active</t>
  </si>
  <si>
    <t>Monthly</t>
  </si>
  <si>
    <t>Yearly</t>
  </si>
  <si>
    <t>YouTube Premium</t>
  </si>
  <si>
    <t>Inactive</t>
  </si>
  <si>
    <t>Airtel Postpaid</t>
  </si>
  <si>
    <t>Aitel Wifi</t>
  </si>
  <si>
    <t>Totals</t>
  </si>
  <si>
    <t>SUM of Amount (39050.57)</t>
  </si>
  <si>
    <t>2024 Total</t>
  </si>
  <si>
    <t xml:space="preserve"> Total</t>
  </si>
  <si>
    <t>Cashback Total</t>
  </si>
  <si>
    <t>Food Total</t>
  </si>
  <si>
    <t>Fuel Total</t>
  </si>
  <si>
    <t>Fun Total</t>
  </si>
  <si>
    <t>Lend Total</t>
  </si>
  <si>
    <t>Lend Return Total</t>
  </si>
  <si>
    <t>Medicine Total</t>
  </si>
  <si>
    <t>Misc Total</t>
  </si>
  <si>
    <t>Monthly Bill Total</t>
  </si>
  <si>
    <t>Rent Total</t>
  </si>
  <si>
    <t>Salary Total</t>
  </si>
  <si>
    <t>Shop Total</t>
  </si>
  <si>
    <t>SIP Total</t>
  </si>
  <si>
    <t>Split Return Total</t>
  </si>
  <si>
    <t>Tax Return Total</t>
  </si>
  <si>
    <t>Transfer Total</t>
  </si>
  <si>
    <t>Travel Total</t>
  </si>
  <si>
    <t>Yearly Bill Total</t>
  </si>
  <si>
    <t>Grand Total</t>
  </si>
  <si>
    <t>1 Total</t>
  </si>
  <si>
    <t>2 Total</t>
  </si>
  <si>
    <t>3 Total</t>
  </si>
  <si>
    <t>4 Total</t>
  </si>
  <si>
    <t>5 Total</t>
  </si>
  <si>
    <t>6 Total</t>
  </si>
  <si>
    <t>2025 Total</t>
  </si>
  <si>
    <t>7 Total</t>
  </si>
  <si>
    <t>8 Total</t>
  </si>
  <si>
    <t>9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</si>
</sst>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&quot;-&quot;mmm&quot;-&quot;yyyy"/>
    <numFmt numFmtId="165" formatCode="[$₹ ]#,##0.00"/>
    <numFmt numFmtId="166" formatCode="&quot;₹&quot; 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81A1B"/>
      <name val="Arial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E5A0"/>
        <bgColor rgb="FFFFE5A0"/>
      </patternFill>
    </fill>
    <fill>
      <patternFill patternType="solid">
        <fgColor rgb="FFFFCFC9"/>
        <bgColor rgb="FFFFCFC9"/>
      </patternFill>
    </fill>
    <fill>
      <patternFill patternType="solid">
        <fgColor rgb="FFC6DBE1"/>
        <bgColor rgb="FFC6DBE1"/>
      </patternFill>
    </fill>
    <fill>
      <patternFill patternType="solid">
        <fgColor rgb="FFBFE1F6"/>
        <bgColor rgb="FFBFE1F6"/>
      </patternFill>
    </fill>
    <fill>
      <patternFill patternType="solid">
        <fgColor rgb="FFD4EDBC"/>
        <bgColor rgb="FFD4EDBC"/>
      </patternFill>
    </fill>
  </fills>
  <borders count="5">
    <border/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5" xfId="0" applyFont="1" applyNumberFormat="1"/>
    <xf borderId="0" fillId="0" fontId="2" numFmtId="0" xfId="0" applyFont="1"/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2" fillId="0" fontId="1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2" fillId="0" fontId="2" numFmtId="165" xfId="0" applyAlignment="1" applyBorder="1" applyFont="1" applyNumberFormat="1">
      <alignment readingOrder="0"/>
    </xf>
    <xf borderId="2" fillId="0" fontId="2" numFmtId="165" xfId="0" applyBorder="1" applyFont="1" applyNumberFormat="1"/>
    <xf borderId="2" fillId="0" fontId="2" numFmtId="0" xfId="0" applyBorder="1" applyFont="1"/>
    <xf borderId="3" fillId="0" fontId="1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0" xfId="0" applyAlignment="1" applyBorder="1" applyFont="1">
      <alignment readingOrder="0"/>
    </xf>
    <xf borderId="3" fillId="0" fontId="2" numFmtId="165" xfId="0" applyAlignment="1" applyBorder="1" applyFont="1" applyNumberFormat="1">
      <alignment readingOrder="0"/>
    </xf>
    <xf borderId="3" fillId="0" fontId="2" numFmtId="165" xfId="0" applyBorder="1" applyFont="1" applyNumberFormat="1"/>
    <xf borderId="3" fillId="0" fontId="2" numFmtId="0" xfId="0" applyBorder="1" applyFont="1"/>
    <xf borderId="1" fillId="0" fontId="2" numFmtId="164" xfId="0" applyAlignment="1" applyBorder="1" applyFont="1" applyNumberFormat="1">
      <alignment readingOrder="0"/>
    </xf>
    <xf borderId="1" fillId="0" fontId="2" numFmtId="0" xfId="0" applyAlignment="1" applyBorder="1" applyFont="1">
      <alignment readingOrder="0"/>
    </xf>
    <xf borderId="1" fillId="0" fontId="2" numFmtId="165" xfId="0" applyAlignment="1" applyBorder="1" applyFont="1" applyNumberFormat="1">
      <alignment readingOrder="0"/>
    </xf>
    <xf borderId="1" fillId="0" fontId="2" numFmtId="165" xfId="0" applyBorder="1" applyFont="1" applyNumberFormat="1"/>
    <xf borderId="1" fillId="0" fontId="2" numFmtId="0" xfId="0" applyBorder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0" fontId="2" numFmtId="0" xfId="0" applyBorder="1" applyFont="1"/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2" numFmtId="0" xfId="0" applyAlignment="1" applyFill="1" applyFont="1">
      <alignment readingOrder="0"/>
    </xf>
    <xf borderId="0" fillId="8" fontId="2" numFmtId="0" xfId="0" applyAlignment="1" applyFill="1" applyFont="1">
      <alignment readingOrder="0"/>
    </xf>
    <xf borderId="0" fillId="9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2" fillId="0" fontId="2" numFmtId="0" xfId="0" applyBorder="1" applyFont="1"/>
    <xf borderId="2" fillId="0" fontId="2" numFmtId="166" xfId="0" applyAlignment="1" applyBorder="1" applyFont="1" applyNumberFormat="1">
      <alignment readingOrder="0"/>
    </xf>
    <xf borderId="2" fillId="0" fontId="2" numFmtId="166" xfId="0" applyBorder="1" applyFont="1" applyNumberFormat="1"/>
    <xf borderId="4" fillId="0" fontId="2" numFmtId="0" xfId="0" applyBorder="1" applyFont="1"/>
  </cellXfs>
  <cellStyles count="1">
    <cellStyle xfId="0" name="Normal" builtinId="0"/>
  </cellStyles>
  <dxfs count="1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/>
      <fill>
        <patternFill patternType="solid">
          <fgColor rgb="FFF46524"/>
          <bgColor rgb="FFF46524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8BC34A"/>
          <bgColor rgb="FF8BC34A"/>
        </patternFill>
      </fill>
      <border/>
    </dxf>
    <dxf>
      <font/>
      <fill>
        <patternFill patternType="solid">
          <fgColor rgb="FFEEF7E3"/>
          <bgColor rgb="FFEEF7E3"/>
        </patternFill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4">
    <tableStyle count="3" pivot="0" name="Chart Table-style">
      <tableStyleElement dxfId="3" type="headerRow"/>
      <tableStyleElement dxfId="4" type="firstRowStripe"/>
      <tableStyleElement dxfId="5" type="secondRowStripe"/>
    </tableStyle>
    <tableStyle count="3" pivot="0" name="Chart Table-style 2">
      <tableStyleElement dxfId="6" type="headerRow"/>
      <tableStyleElement dxfId="4" type="firstRowStripe"/>
      <tableStyleElement dxfId="7" type="secondRowStripe"/>
    </tableStyle>
    <tableStyle count="3" pivot="0" name="Chart Table-style 3">
      <tableStyleElement dxfId="8" type="headerRow"/>
      <tableStyleElement dxfId="4" type="firstRowStripe"/>
      <tableStyleElement dxfId="9" type="secondRowStripe"/>
    </tableStyle>
    <tableStyle count="3" pivot="0" name="Chart Table-style 4">
      <tableStyleElement dxfId="10" type="headerRow"/>
      <tableStyleElement dxfId="4" type="firstRowStripe"/>
      <tableStyleElement dxfId="1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'Chart Table'!$C$2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Table'!$D$2:$R$2</c:f>
              <c:numCache/>
            </c:numRef>
          </c:val>
        </c:ser>
        <c:ser>
          <c:idx val="1"/>
          <c:order val="1"/>
          <c:tx>
            <c:strRef>
              <c:f>'Chart Table'!$C$3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Table'!$D$3:$R$3</c:f>
              <c:numCache/>
            </c:numRef>
          </c:val>
        </c:ser>
        <c:ser>
          <c:idx val="2"/>
          <c:order val="2"/>
          <c:tx>
            <c:strRef>
              <c:f>'Chart Table'!$C$4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Table'!$D$4:$R$4</c:f>
              <c:numCache/>
            </c:numRef>
          </c:val>
        </c:ser>
        <c:ser>
          <c:idx val="3"/>
          <c:order val="3"/>
          <c:tx>
            <c:strRef>
              <c:f>'Chart Table'!$C$5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Table'!$D$5:$R$5</c:f>
              <c:numCache/>
            </c:numRef>
          </c:val>
        </c:ser>
        <c:ser>
          <c:idx val="4"/>
          <c:order val="4"/>
          <c:tx>
            <c:strRef>
              <c:f>'Chart Table'!$C$6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Table'!$D$6:$R$6</c:f>
              <c:numCache/>
            </c:numRef>
          </c:val>
        </c:ser>
        <c:ser>
          <c:idx val="5"/>
          <c:order val="5"/>
          <c:tx>
            <c:strRef>
              <c:f>'Chart Table'!$C$7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Table'!$D$7:$R$7</c:f>
              <c:numCache/>
            </c:numRef>
          </c:val>
        </c:ser>
        <c:ser>
          <c:idx val="6"/>
          <c:order val="6"/>
          <c:tx>
            <c:strRef>
              <c:f>'Chart Table'!$C$8</c:f>
            </c:strRef>
          </c:tx>
          <c:spPr>
            <a:solidFill>
              <a:schemeClr val="accent1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Table'!$D$8:$R$8</c:f>
              <c:numCache/>
            </c:numRef>
          </c:val>
        </c:ser>
        <c:ser>
          <c:idx val="7"/>
          <c:order val="7"/>
          <c:tx>
            <c:strRef>
              <c:f>'Chart Table'!$C$9</c:f>
            </c:strRef>
          </c:tx>
          <c:spPr>
            <a:solidFill>
              <a:schemeClr val="accent2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Table'!$D$9:$R$9</c:f>
              <c:numCache/>
            </c:numRef>
          </c:val>
        </c:ser>
        <c:ser>
          <c:idx val="8"/>
          <c:order val="8"/>
          <c:tx>
            <c:strRef>
              <c:f>'Chart Table'!$C$10</c:f>
            </c:strRef>
          </c:tx>
          <c:spPr>
            <a:solidFill>
              <a:schemeClr val="accent3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Table'!$D$10:$R$10</c:f>
              <c:numCache/>
            </c:numRef>
          </c:val>
        </c:ser>
        <c:ser>
          <c:idx val="9"/>
          <c:order val="9"/>
          <c:tx>
            <c:strRef>
              <c:f>'Chart Table'!$C$11</c:f>
            </c:strRef>
          </c:tx>
          <c:spPr>
            <a:solidFill>
              <a:schemeClr val="accent4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Table'!$D$11:$R$11</c:f>
              <c:numCache/>
            </c:numRef>
          </c:val>
        </c:ser>
        <c:ser>
          <c:idx val="10"/>
          <c:order val="10"/>
          <c:tx>
            <c:strRef>
              <c:f>'Chart Table'!$C$12</c:f>
            </c:strRef>
          </c:tx>
          <c:spPr>
            <a:solidFill>
              <a:schemeClr val="accent5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Table'!$D$12:$R$12</c:f>
              <c:numCache/>
            </c:numRef>
          </c:val>
        </c:ser>
        <c:ser>
          <c:idx val="11"/>
          <c:order val="11"/>
          <c:tx>
            <c:strRef>
              <c:f>'Chart Table'!$C$13</c:f>
            </c:strRef>
          </c:tx>
          <c:spPr>
            <a:solidFill>
              <a:schemeClr val="accent6">
                <a:lumOff val="3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Table'!$D$13:$R$13</c:f>
              <c:numCache/>
            </c:numRef>
          </c:val>
        </c:ser>
        <c:ser>
          <c:idx val="12"/>
          <c:order val="12"/>
          <c:tx>
            <c:strRef>
              <c:f>'Chart Table'!$C$14</c:f>
            </c:strRef>
          </c:tx>
          <c:spPr>
            <a:solidFill>
              <a:schemeClr val="accent1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Table'!$D$14:$R$14</c:f>
              <c:numCache/>
            </c:numRef>
          </c:val>
        </c:ser>
        <c:ser>
          <c:idx val="13"/>
          <c:order val="13"/>
          <c:tx>
            <c:strRef>
              <c:f>'Chart Table'!$C$15</c:f>
            </c:strRef>
          </c:tx>
          <c:spPr>
            <a:solidFill>
              <a:schemeClr val="accent2">
                <a:lumOff val="60000"/>
              </a:schemeClr>
            </a:solidFill>
            <a:ln cmpd="sng">
              <a:solidFill>
                <a:srgbClr val="000000"/>
              </a:solidFill>
            </a:ln>
          </c:spPr>
          <c:cat>
            <c:strRef>
              <c:f>'Chart Table'!$D$1:$R$1</c:f>
            </c:strRef>
          </c:cat>
          <c:val>
            <c:numRef>
              <c:f>'Chart Table'!$D$15:$R$15</c:f>
              <c:numCache/>
            </c:numRef>
          </c:val>
        </c:ser>
        <c:axId val="2059431206"/>
        <c:axId val="1819105439"/>
      </c:barChart>
      <c:catAx>
        <c:axId val="20594312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9105439"/>
      </c:catAx>
      <c:valAx>
        <c:axId val="18191054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5943120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3735050" cy="8505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342900</xdr:colOff>
      <xdr:row>0</xdr:row>
      <xdr:rowOff>0</xdr:rowOff>
    </xdr:from>
    <xdr:ext cx="11115675" cy="6600825"/>
    <xdr:pic>
      <xdr:nvPicPr>
        <xdr:cNvPr id="785975585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32" sheet="Main"/>
  </cacheSource>
  <cacheFields>
    <cacheField name="Index" numFmtId="0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m/>
      </sharedItems>
    </cacheField>
    <cacheField name="Date" numFmtId="164">
      <sharedItems containsDate="1" containsString="0" containsBlank="1">
        <d v="2024-08-01T00:00:00Z"/>
        <d v="2024-08-02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4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7T00:00:00Z"/>
        <d v="2024-08-28T00:00:00Z"/>
        <d v="2024-08-29T00:00:00Z"/>
        <d v="2024-08-30T00:00:00Z"/>
        <d v="2024-08-31T00:00:00Z"/>
        <d v="2024-09-02T00:00:00Z"/>
        <d v="2024-09-03T00:00:00Z"/>
        <d v="2024-09-05T00:00:00Z"/>
        <d v="2024-09-07T00:00:00Z"/>
        <d v="2024-09-08T00:00:00Z"/>
        <d v="2024-09-09T00:00:00Z"/>
        <d v="2024-09-10T00:00:00Z"/>
        <d v="2024-09-11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8T00:00:00Z"/>
        <d v="2024-09-30T00:00:00Z"/>
        <d v="2024-10-01T00:00:00Z"/>
        <d v="2024-10-02T00:00:00Z"/>
        <d v="2024-10-03T00:00:00Z"/>
        <d v="2024-10-06T00:00:00Z"/>
        <d v="2024-10-09T00:00:00Z"/>
        <d v="2024-10-10T00:00:00Z"/>
        <d v="2024-10-11T00:00:00Z"/>
        <d v="2024-10-12T00:00:00Z"/>
        <d v="2024-10-14T00:00:00Z"/>
        <d v="2024-10-15T00:00:00Z"/>
        <d v="2024-10-19T00:00:00Z"/>
        <d v="2024-10-20T00:00:00Z"/>
        <d v="2024-10-21T00:00:00Z"/>
        <d v="2024-10-22T00:00:00Z"/>
        <d v="2024-10-23T00:00:00Z"/>
        <d v="2024-10-26T00:00:00Z"/>
        <d v="2024-10-30T00:00:00Z"/>
        <d v="2024-10-31T00:00:00Z"/>
        <d v="2024-11-03T00:00:00Z"/>
        <d v="2024-11-04T00:00:00Z"/>
        <d v="2024-11-05T00:00:00Z"/>
        <d v="2024-11-06T00:00:00Z"/>
        <d v="2024-11-07T00:00:00Z"/>
        <d v="2024-11-08T00:00:00Z"/>
        <d v="2024-11-10T00:00:00Z"/>
        <d v="2024-11-11T00:00:00Z"/>
        <d v="2024-11-13T00:00:00Z"/>
        <d v="2024-11-14T00:00:00Z"/>
        <d v="2024-11-15T00:00:00Z"/>
        <d v="2024-11-16T00:00:00Z"/>
        <d v="2024-11-17T00:00:00Z"/>
        <d v="2024-11-18T00:00:00Z"/>
        <d v="2024-11-22T00:00:00Z"/>
        <d v="2024-11-23T00:00:00Z"/>
        <d v="2024-11-26T00:00:00Z"/>
        <d v="2024-11-27T00:00:00Z"/>
        <d v="2024-11-28T00:00:00Z"/>
        <d v="2024-11-29T00:00:00Z"/>
        <d v="2024-11-30T00:00:00Z"/>
        <d v="2024-12-01T00:00:00Z"/>
        <d v="2024-12-03T00:00:00Z"/>
        <d v="2024-12-04T00:00:00Z"/>
        <d v="2024-12-05T00:00:00Z"/>
        <d v="2024-12-06T00:00:00Z"/>
        <d v="2024-12-07T00:00:00Z"/>
        <d v="2024-12-10T00:00:00Z"/>
        <d v="2024-12-11T00:00:00Z"/>
        <d v="2024-12-15T00:00:00Z"/>
        <d v="2024-12-16T00:00:00Z"/>
        <d v="2024-12-21T00:00:00Z"/>
        <d v="2024-12-22T00:00:00Z"/>
        <d v="2024-12-25T00:00:00Z"/>
        <d v="2024-12-26T00:00:00Z"/>
        <d v="2024-12-27T00:00:00Z"/>
        <d v="2024-12-28T00:00:00Z"/>
        <d v="2024-12-30T00:00:00Z"/>
        <d v="2024-12-31T00:00:00Z"/>
        <d v="2025-01-01T00:00:00Z"/>
        <d v="2025-01-02T00:00:00Z"/>
        <d v="2025-01-03T00:00:00Z"/>
        <d v="2025-01-04T00:00:00Z"/>
        <d v="2025-01-05T00:00:00Z"/>
        <d v="2025-01-08T00:00:00Z"/>
        <d v="2025-01-10T00:00:00Z"/>
        <d v="2025-01-11T00:00:00Z"/>
        <d v="2025-01-13T00:00:00Z"/>
        <d v="2025-01-14T00:00:00Z"/>
        <d v="2025-01-15T00:00:00Z"/>
        <d v="2025-01-17T00:00:00Z"/>
        <d v="2025-01-19T00:00:00Z"/>
        <d v="2025-01-23T00:00:00Z"/>
        <d v="2025-01-24T00:00:00Z"/>
        <d v="2025-01-25T00:00:00Z"/>
        <d v="2025-01-26T00:00:00Z"/>
        <d v="2025-01-27T00:00:00Z"/>
        <d v="2025-01-30T00:00:00Z"/>
        <d v="2025-01-31T00:00:00Z"/>
        <d v="2025-02-03T00:00:00Z"/>
        <d v="2025-02-04T00:00:00Z"/>
        <d v="2025-02-06T00:00:00Z"/>
        <d v="2025-02-07T00:00:00Z"/>
        <d v="2025-02-08T00:00:00Z"/>
        <d v="2025-02-09T00:00:00Z"/>
        <d v="2025-02-10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5T00:00:00Z"/>
        <d v="2025-02-26T00:00:00Z"/>
        <d v="2025-02-28T00:00:00Z"/>
        <d v="2025-03-08T00:00:00Z"/>
        <d v="2025-03-09T00:00:00Z"/>
        <d v="2025-03-13T00:00:00Z"/>
        <d v="2025-03-14T00:00:00Z"/>
        <d v="2025-03-15T00:00:00Z"/>
        <d v="2025-03-16T00:00:00Z"/>
        <d v="2025-03-17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3-29T00:00:00Z"/>
        <d v="2025-03-31T00:00:00Z"/>
        <d v="2025-04-01T00:00:00Z"/>
        <d v="2025-04-02T00:00:00Z"/>
        <d v="2025-04-04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4-17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8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9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7T00:00:00Z"/>
        <d v="2025-07-08T00:00:00Z"/>
        <d v="2025-07-09T00:00:00Z"/>
        <d v="2025-07-10T00:00:00Z"/>
        <d v="2025-07-11T00:00:00Z"/>
        <d v="2025-07-12T00:00:00Z"/>
        <d v="2025-07-13T00:00:00Z"/>
        <d v="2025-07-14T00:00:00Z"/>
        <d v="2025-07-15T00:00:00Z"/>
        <d v="2025-07-16T00:00:00Z"/>
        <d v="2025-07-17T00:00:00Z"/>
        <d v="2025-07-18T00:00:00Z"/>
        <d v="2025-07-19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28T00:00:00Z"/>
        <d v="2025-07-29T00:00:00Z"/>
        <d v="2025-07-30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2T00:00:00Z"/>
        <d v="2025-08-15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4T00:00:00Z"/>
        <d v="2025-08-26T00:00:00Z"/>
        <d v="2025-08-27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m/>
      </sharedItems>
    </cacheField>
    <cacheField name="Category" numFmtId="0">
      <sharedItems containsBlank="1">
        <m/>
        <s v="Misc"/>
        <s v="Lend"/>
        <s v="Shop"/>
        <s v="Food"/>
        <s v="Fuel"/>
        <s v="Split Return"/>
        <s v="Travel"/>
        <s v="Transfer"/>
        <s v="Fun"/>
        <s v="Monthly Bill"/>
        <s v="Tax Return"/>
        <s v="SIP"/>
        <s v="Salary"/>
        <s v="Lend Return"/>
        <s v="Yearly Bill"/>
        <s v="Rent"/>
        <s v="Cashback"/>
        <s v="Medicine"/>
      </sharedItems>
    </cacheField>
    <cacheField name="Sub Category" numFmtId="0">
      <sharedItems containsBlank="1">
        <m/>
        <s v="Personal"/>
        <s v="Others"/>
        <s v="Family"/>
        <s v="Personal, Others"/>
        <s v="Personal, Others, Family"/>
        <s v="Personal, Family"/>
        <s v="Personal, Family, Others"/>
        <s v="Family, Personal"/>
        <s v="Others, Personal"/>
      </sharedItems>
    </cacheField>
    <cacheField name="Amount (39050.57)" numFmtId="165">
      <sharedItems containsString="0" containsBlank="1" containsNumber="1">
        <n v="0.0"/>
        <n v="-300.0"/>
        <n v="-1500.0"/>
        <n v="-531.0"/>
        <n v="-500.0"/>
        <n v="-551.0"/>
        <n v="-200.0"/>
        <n v="-393.91"/>
        <n v="8692.0"/>
        <n v="-245.0"/>
        <n v="-4999.0"/>
        <n v="-5998.0"/>
        <n v="-2490.0"/>
        <n v="-1416.0"/>
        <n v="300.0"/>
        <n v="-131.0"/>
        <n v="-3117.0"/>
        <n v="-190.0"/>
        <n v="-98.0"/>
        <n v="-30000.0"/>
        <n v="-125.0"/>
        <n v="-60.0"/>
        <n v="-348.0"/>
        <n v="-3422.0"/>
        <n v="-7996.0"/>
        <n v="-456.0"/>
        <n v="-1449.0"/>
        <n v="-15000.0"/>
        <n v="-192.0"/>
        <n v="-42.75"/>
        <n v="-128.0"/>
        <n v="-17.1"/>
        <n v="-160.0"/>
        <n v="-995.0"/>
        <n v="-93.0"/>
        <n v="-47.5"/>
        <n v="-79.8"/>
        <n v="-122.0"/>
        <n v="-445.0"/>
        <n v="-649.0"/>
        <n v="-6777.0"/>
        <n v="-75.0"/>
        <n v="-100.0"/>
        <n v="-136.0"/>
        <n v="-7823.0"/>
        <n v="-1045.0"/>
        <n v="430.0"/>
        <n v="428.0"/>
        <n v="325.0"/>
        <n v="18.0"/>
        <n v="2400.0"/>
        <n v="435.0"/>
        <n v="860.0"/>
        <n v="-364.0"/>
        <n v="-2700.0"/>
        <n v="-570.0"/>
        <n v="-1894.0"/>
        <n v="-360.0"/>
        <n v="-237.0"/>
        <n v="-475.0"/>
        <n v="-1215.0"/>
        <n v="165.0"/>
        <n v="4800.0"/>
        <n v="6350.0"/>
        <n v="-330.0"/>
        <n v="-30.0"/>
        <n v="3400.0"/>
        <n v="1290.0"/>
        <n v="-50.0"/>
        <n v="52130.0"/>
        <n v="-5000.0"/>
        <n v="-2002.46"/>
        <n v="-3980.0"/>
        <n v="-5540.0"/>
        <n v="3000.0"/>
        <n v="-134.0"/>
        <n v="-1533.0"/>
        <n v="-76.0"/>
        <n v="-27.59"/>
        <n v="-83.9"/>
        <n v="-40.0"/>
        <n v="-397.0"/>
        <n v="-632.58"/>
        <n v="-184.0"/>
        <n v="-700.0"/>
        <n v="725.0"/>
        <n v="-590.0"/>
        <n v="-70.0"/>
        <n v="-357.0"/>
        <n v="-179.0"/>
        <n v="-1022.0"/>
        <n v="-564.63"/>
        <n v="-2331.0"/>
        <n v="-1000.0"/>
        <n v="-581.0"/>
        <n v="-196.0"/>
        <n v="-156.75"/>
        <n v="-641.0"/>
        <n v="-5101.0"/>
        <n v="-1113.0"/>
        <n v="-3550.0"/>
        <n v="-171.0"/>
        <n v="-172.0"/>
        <n v="-57.0"/>
        <n v="109733.0"/>
        <n v="-90.6"/>
        <n v="-94.5"/>
        <n v="-134.2"/>
        <n v="-84.84"/>
        <n v="-588.0"/>
        <n v="-410.98"/>
        <n v="-4111.0"/>
        <n v="1500.0"/>
        <n v="-240.0"/>
        <n v="-485.0"/>
        <n v="-819.0"/>
        <n v="-380.54"/>
        <n v="-1141.0"/>
        <n v="-932.0"/>
        <n v="-1719.65"/>
        <n v="-361.0"/>
        <n v="-20.0"/>
        <n v="-415.8"/>
        <n v="-59.0"/>
        <n v="-50000.0"/>
        <n v="-299.0"/>
        <n v="-370.3"/>
        <n v="-490.0"/>
        <n v="-321.24"/>
        <n v="-1141.6"/>
        <n v="500.0"/>
        <n v="-10.0"/>
        <n v="-421.0"/>
        <n v="-2782.08"/>
        <n v="-441.0"/>
        <n v="-50.99"/>
        <n v="-198.0"/>
        <n v="-150.0"/>
        <n v="-354.53"/>
        <n v="-356.88"/>
        <n v="-126.64"/>
        <n v="700.0"/>
        <n v="2782.08"/>
        <n v="-1650.73"/>
        <n v="-1063.0"/>
        <n v="622.67"/>
        <n v="567.0"/>
        <n v="-1100.0"/>
        <n v="-20659.0"/>
        <n v="79533.0"/>
        <n v="-321.95"/>
        <n v="-4495.0"/>
        <n v="-1293.39"/>
        <n v="-580.0"/>
        <n v="-448.0"/>
        <n v="-1074.0"/>
        <n v="-1590.0"/>
        <n v="-6416.0"/>
        <n v="-2699.0"/>
        <n v="-80.0"/>
        <n v="-250.0"/>
        <n v="200.0"/>
        <n v="739.0"/>
        <n v="-1825.46"/>
        <n v="60.0"/>
        <n v="-146.0"/>
        <n v="-3999.0"/>
        <n v="-1212.84"/>
        <n v="-999.0"/>
        <n v="-424.0"/>
        <n v="-225.0"/>
        <n v="-63.0"/>
        <n v="-894.0"/>
        <n v="-10649.0"/>
        <n v="-692.08"/>
        <n v="-7897.0"/>
        <n v="4610.0"/>
        <n v="-25000.0"/>
        <n v="863.53"/>
        <n v="-2498.0"/>
        <n v="-120.0"/>
        <n v="-1300.0"/>
        <n v="-2100.0"/>
        <n v="8000.0"/>
        <n v="-2998.0"/>
        <n v="-10000.0"/>
        <n v="-3609.0"/>
        <n v="-37.0"/>
        <n v="-3000.0"/>
        <n v="-451.2"/>
        <n v="-950.64"/>
        <n v="-286.0"/>
        <n v="-990.0"/>
        <n v="-233.0"/>
        <n v="-4206.0"/>
        <n v="-1122.0"/>
        <n v="225.0"/>
        <n v="5000.0"/>
        <n v="-2213.0"/>
        <n v="-211.0"/>
        <n v="-177.0"/>
        <n v="-1947.0"/>
        <n v="-799.0"/>
        <n v="-2849.0"/>
        <n v="-3114.0"/>
        <n v="-612.05"/>
        <n v="-313.0"/>
        <n v="-297.0"/>
        <n v="-295.0"/>
        <n v="-1128.0"/>
        <n v="3114.0"/>
        <n v="-2448.0"/>
        <n v="-40000.0"/>
        <n v="2000.0"/>
        <n v="5332.0"/>
        <n v="-285.0"/>
        <n v="100.0"/>
        <n v="4964.34"/>
        <n v="8863.85"/>
        <n v="-41.0"/>
        <n v="-20312.0"/>
        <n v="-2500.0"/>
        <n v="1429.0"/>
        <n v="-380.0"/>
        <n v="-3150.0"/>
        <n v="-5937.0"/>
        <n v="-3200.0"/>
        <n v="373.0"/>
        <n v="2300.0"/>
        <n v="542.0"/>
        <n v="1000.0"/>
        <n v="509.0"/>
        <n v="2500.0"/>
        <n v="2900.0"/>
        <n v="2729.0"/>
        <n v="-1199.0"/>
        <n v="-938.0"/>
        <n v="-174.0"/>
        <n v="-1233.0"/>
        <n v="-293.0"/>
        <n v="250.0"/>
        <n v="-708.35"/>
        <n v="-2288.0"/>
        <n v="-535.0"/>
        <n v="-38.0"/>
        <n v="-194.0"/>
        <n v="-7115.0"/>
        <n v="-1060.78"/>
        <n v="-229.0"/>
        <n v="-683.22"/>
        <n v="-317.99"/>
        <n v="2130.0"/>
        <n v="-2061.46"/>
        <n v="-129.0"/>
        <n v="-1196.66"/>
        <n v="330.0"/>
        <n v="-2554.0"/>
        <n v="-255.4"/>
        <n v="-1098.0"/>
        <n v="1200.0"/>
        <n v="-197.0"/>
        <n v="-7000.0"/>
        <n v="-83.6"/>
        <n v="-450.0"/>
        <n v="-83.0"/>
        <n v="-71.25"/>
        <n v="-217.0"/>
        <n v="-898.0"/>
        <n v="510.0"/>
        <n v="-1799.0"/>
        <n v="592.0"/>
        <n v="-617.0"/>
        <n v="-361.45"/>
        <n v="-699.0"/>
        <n v="-800.0"/>
        <n v="255.0"/>
        <n v="-148.0"/>
        <n v="-549.0"/>
        <n v="-749.0"/>
        <n v="-870.0"/>
        <n v="-280.0"/>
        <n v="-960.78"/>
        <n v="-298.8"/>
        <n v="-7720.0"/>
        <n v="-378.0"/>
        <n v="-112.0"/>
        <n v="-90.0"/>
        <n v="-209.0"/>
        <n v="-262.0"/>
        <n v="-512.0"/>
        <n v="-367.0"/>
        <n v="-342.2"/>
        <n v="-85.0"/>
        <n v="-244.0"/>
        <n v="-503.2"/>
        <n v="-326.68"/>
        <n v="-499.0"/>
        <n v="-1980.0"/>
        <n v="-182.0"/>
        <n v="-494.95"/>
        <n v="-64.0"/>
        <n v="-32.0"/>
        <n v="-176.0"/>
        <n v="-3679.0"/>
        <n v="-116.82"/>
        <n v="-12.0"/>
        <n v="-400.0"/>
        <n v="-158.0"/>
        <n v="158.0"/>
        <n v="168.0"/>
        <n v="-850.0"/>
        <n v="-52.0"/>
        <n v="170.0"/>
        <n v="46110.0"/>
        <n v="-4128.82"/>
        <n v="-314.0"/>
        <n v="-3509.0"/>
        <n v="-1709.7"/>
        <n v="-1926.0"/>
        <n v="7354.0"/>
        <n v="-210.8"/>
        <n v="-78.0"/>
        <n v="-471.67"/>
        <n v="-105.0"/>
        <n v="-703.45"/>
        <n v="-20000.0"/>
        <n v="-2468.0"/>
        <n v="-28000.0"/>
        <n v="-711.0"/>
        <n v="-199.0"/>
        <n v="-60000.0"/>
        <n v="-424.2"/>
        <n v="569.0"/>
        <n v="-321.0"/>
        <n v="-334.0"/>
        <n v="-322.25"/>
        <n v="-470.0"/>
        <n v="-9.0"/>
        <n v="-3500.0"/>
        <n v="-472.0"/>
        <n v="30000.0"/>
        <n v="-399.15"/>
        <n v="-228.9"/>
        <n v="-1990.0"/>
        <n v="-14990.0"/>
        <n v="-444.95"/>
        <n v="-6547.0"/>
        <n v="-67.0"/>
        <n v="-427.0"/>
        <n v="-458.0"/>
        <n v="-1565.38"/>
        <n v="-1110.0"/>
        <n v="-451.03"/>
        <n v="-588.37"/>
        <n v="-289.0"/>
        <n v="-631.95"/>
        <n v="-3098.72"/>
        <n v="-4309.0"/>
        <n v="-1394.0"/>
        <n v="-395.0"/>
        <n v="-582.7"/>
        <n v="-523.9"/>
        <n v="-1129.0"/>
        <n v="-392.9"/>
        <n v="-1656.0"/>
        <n v="-143.0"/>
        <n v="-213.0"/>
        <n v="-519.8"/>
        <n v="20000.0"/>
        <n v="-268.81"/>
        <n v="-26.0"/>
        <n v="-386.0"/>
        <n v="-1250.0"/>
        <n v="-545.0"/>
        <n v="-500.18"/>
        <n v="-329.7"/>
        <n v="-2376.0"/>
        <n v="-599.0"/>
        <n v="-585.0"/>
        <n v="-207.0"/>
        <n v="-299.46"/>
        <n v="-469.62"/>
        <n v="-235.65"/>
        <n v="-102.0"/>
        <n v="-536.08"/>
        <n v="-470.41"/>
        <n v="-292.0"/>
        <n v="-697.65"/>
        <n v="-260.0"/>
        <n v="-1184.0"/>
        <n v="-9462.0"/>
        <n v="-1.86"/>
        <n v="-220.0"/>
        <n v="-235.0"/>
        <n v="-353.95"/>
        <n v="-210.0"/>
        <n v="-36456.0"/>
        <n v="-380.7"/>
        <n v="-388.65"/>
        <n v="-2234.57"/>
        <n v="-608.85"/>
        <n v="-755.0"/>
        <n v="380.0"/>
        <n v="-1852.0"/>
        <n v="-1124.89"/>
        <n v="-894.4"/>
        <n v="-977.0"/>
        <n v="-654.88"/>
        <n v="-45.0"/>
        <n v="-1924.46"/>
        <n v="-44.0"/>
        <n v="-1603.0"/>
        <n v="-1099.0"/>
        <n v="10.0"/>
        <n v="-900.0"/>
        <n v="-254.0"/>
        <n v="-1792.0"/>
        <n v="-338.1"/>
        <n v="-1209.92"/>
        <n v="-604.96"/>
        <n v="302.0"/>
        <n v="604.0"/>
        <n v="-2770.0"/>
        <n v="1385.0"/>
        <n v="-835.0"/>
        <n v="-1160.0"/>
        <n v="-377.0"/>
        <n v="660.0"/>
        <n v="-483.45"/>
        <n v="-145.0"/>
        <n v="105.0"/>
        <n v="-228.0"/>
        <n v="129533.0"/>
        <n v="-15200.0"/>
        <n v="-275.0"/>
        <n v="-180.0"/>
        <n v="-5954.0"/>
        <n v="-638.0"/>
        <n v="-3891.0"/>
        <n v="387.0"/>
        <n v="-140.0"/>
        <n v="-679.0"/>
        <n v="-1070.0"/>
        <n v="-6500.0"/>
        <n v="-520.0"/>
        <n v="-265.0"/>
        <n v="150.0"/>
        <n v="-54.0"/>
        <n v="-142.0"/>
        <n v="-543.41"/>
        <n v="-22.0"/>
        <n v="-25.0"/>
        <n v="-6700.0"/>
        <n v="-1080.44"/>
        <n v="-415.0"/>
        <n v="-1161.83"/>
        <n v="-110.23"/>
        <n v="-885.0"/>
        <n v="-365.0"/>
        <n v="-1080.0"/>
        <n v="310.0"/>
        <n v="-546.0"/>
        <n v="540.0"/>
        <n v="-62.0"/>
        <n v="-406.35"/>
        <n v="-530.0"/>
        <n v="2235.0"/>
        <n v="-101.6"/>
        <n v="-99.43"/>
        <n v="-79.2"/>
        <n v="-659.65"/>
        <n v="-672.0"/>
        <n v="350.0"/>
        <n v="-420.0"/>
        <n v="-198.44"/>
        <n v="-1560.0"/>
        <n v="-428.0"/>
        <n v="106.0"/>
        <n v="-28.0"/>
        <n v="-972.0"/>
        <n v="-1182.0"/>
        <n v="-238.0"/>
        <n v="-706.0"/>
        <n v="-453.0"/>
        <n v="-711.05"/>
        <n v="-49.0"/>
        <n v="-601.01"/>
        <n v="241.0"/>
        <n v="-2549.95"/>
        <n v="110.0"/>
        <n v="-476.0"/>
        <n v="3500.0"/>
        <n v="-79.0"/>
        <n v="-413.0"/>
        <n v="-1377.0"/>
        <n v="550.0"/>
        <n v="275.0"/>
        <n v="2550.0"/>
        <n v="-1319.0"/>
        <n v="-560.0"/>
        <n v="-544.0"/>
        <n v="135.0"/>
        <n v="-5296.9"/>
        <n v="3024.0"/>
        <n v="756.0"/>
        <n v="-290.0"/>
        <n v="-170.0"/>
        <n v="-781.0"/>
        <n v="557.0"/>
        <n v="-349.0"/>
        <n v="-399.0"/>
        <n v="-110.0"/>
        <n v="-717.0"/>
        <n v="-1135.0"/>
        <n v="-892.0"/>
        <n v="-420.25"/>
        <n v="-741.0"/>
        <n v="-185.0"/>
        <n v="-1600.4"/>
        <n v="-195.0"/>
        <n v="-398.0"/>
        <n v="-94.0"/>
        <n v="-888.56"/>
        <n v="585.0"/>
        <n v="-885.36"/>
        <n v="-68.0"/>
        <n v="-546.45"/>
        <n v="-1903.0"/>
        <n v="-1037.0"/>
        <n v="-646.0"/>
        <n v="90.0"/>
        <n v="6.0"/>
        <n v="-460.0"/>
        <n v="-786.0"/>
        <n v="190.0"/>
        <n v="-522.0"/>
        <n v="-592.0"/>
        <n v="-302.0"/>
        <n v="-135.44"/>
        <n v="-603.81"/>
        <n v="-410.0"/>
        <n v="-998.0"/>
        <n v="-514.0"/>
        <n v="-403.0"/>
        <n v="-419.0"/>
        <n v="-738.22"/>
        <n v="-1010.1"/>
        <n v="-2000.0"/>
        <n v="-577.0"/>
        <n v="-507.0"/>
        <n v="-4568.0"/>
        <n v="-8582.0"/>
        <n v="126.0"/>
        <n v="106696.0"/>
        <n v="-525.0"/>
        <n v="-345.0"/>
        <n v="-486.0"/>
        <n v="-1325.05"/>
        <n v="-454.25"/>
        <n v="1780.0"/>
        <n v="-82.0"/>
        <n v="-521.8"/>
        <n v="-4246.0"/>
        <n v="-1116.0"/>
        <n v="-398.9"/>
        <n v="-696.0"/>
        <n v="1.0"/>
        <n v="-604.0"/>
        <n v="-155.0"/>
        <n v="-1937.44"/>
        <n v="-320.0"/>
        <n v="-959.0"/>
        <n v="-168.0"/>
        <n v="-2753.0"/>
        <n v="-1409.94"/>
        <n v="-513.5"/>
        <n v="-1169.0"/>
        <n v="-3048.0"/>
        <n v="-668.06"/>
        <n v="-394.0"/>
        <n v="-489.0"/>
        <n v="-613.3"/>
        <n v="-308.0"/>
        <n v="-552.29"/>
        <n v="-164.0"/>
        <n v="5.0"/>
        <n v="-923.0"/>
        <n v="279.0"/>
        <n v="360.0"/>
        <n v="-3526.0"/>
        <n v="-1599.0"/>
        <n v="-658.5"/>
        <n v="-272.0"/>
        <n v="-1960.0"/>
        <n v="-567.4"/>
        <n v="-383.76"/>
        <n v="-255.0"/>
        <n v="2.0"/>
        <n v="-1834.0"/>
        <n v="-550.97"/>
        <n v="-329.0"/>
        <n v="-215.47"/>
        <n v="-1215.67"/>
        <n v="-582.26"/>
        <n v="-1270.16"/>
        <n v="-96.0"/>
        <n v="1.39"/>
        <n v="-1903.42"/>
        <n v="-1640.0"/>
        <n v="285.0"/>
        <n v="-3491.25"/>
        <n v="-4011.05"/>
        <n v="-1552.0"/>
        <n v="-1695.0"/>
        <n v="-440.4"/>
        <n v="-467.15"/>
        <n v="-406.0"/>
        <n v="-2196.0"/>
        <n v="-576.15"/>
        <n v="-586.85"/>
        <n v="-937.09"/>
        <n v="-2011.0"/>
        <n v="-3573.0"/>
        <n v="-419.76"/>
        <n v="-8328.0"/>
        <n v="-4549.0"/>
        <n v="-401.05"/>
        <n v="-36.0"/>
        <n v="7500.0"/>
        <n v="900.0"/>
        <n v="-732.0"/>
        <n v="-386.05"/>
        <n v="-1357.0"/>
        <n v="271.0"/>
        <n v="-1899.8"/>
        <n v="-271.0"/>
        <n v="-335.0"/>
        <n v="-824.19"/>
        <n v="-88.0"/>
        <n v="-786.2"/>
        <n v="-1044.75"/>
        <n v="-449.0"/>
        <n v="-161.7"/>
        <n v="2.41"/>
        <n v="1313.0"/>
        <n v="-311.9"/>
        <n v="160.0"/>
        <n v="271.29"/>
        <n v="431.0"/>
        <n v="1044.75"/>
        <n v="-1401.0"/>
        <n v="210.0"/>
        <n v="270.0"/>
        <n v="271.28"/>
        <n v="-538.0"/>
        <n v="114.0"/>
        <n v="-395.9"/>
        <n v="-801.0"/>
        <n v="-676.0"/>
        <n v="-1106.0"/>
        <n v="-656.23"/>
        <n v="463.0"/>
        <n v="-1530.0"/>
        <n v="-1849.41"/>
        <n v="-484.1"/>
        <n v="1800.0"/>
        <m/>
      </sharedItems>
    </cacheField>
    <cacheField name="Balance (62226.34)">
      <sharedItems containsMixedTypes="1" containsNumber="1">
        <n v="101276.91"/>
        <n v="100976.91"/>
        <n v="99476.91"/>
        <n v="98945.91"/>
        <n v="98445.91"/>
        <n v="97894.91"/>
        <n v="97694.91"/>
        <n v="97301.0"/>
        <n v="105993.0"/>
        <n v="105748.0"/>
        <n v="100749.0"/>
        <n v="94751.0"/>
        <n v="92261.0"/>
        <n v="90845.0"/>
        <n v="91145.0"/>
        <n v="91014.0"/>
        <n v="87897.0"/>
        <n v="87707.0"/>
        <n v="87609.0"/>
        <n v="57609.0"/>
        <n v="57409.0"/>
        <n v="57284.0"/>
        <n v="57224.0"/>
        <n v="56876.0"/>
        <n v="53454.0"/>
        <n v="45458.0"/>
        <n v="45002.0"/>
        <n v="43553.0"/>
        <n v="28553.0"/>
        <n v="28361.0"/>
        <n v="28318.25"/>
        <n v="28190.25"/>
        <n v="28173.15"/>
        <n v="28013.15"/>
        <n v="27018.15"/>
        <n v="26925.15"/>
        <n v="26877.65"/>
        <n v="26797.850000000002"/>
        <n v="26675.850000000002"/>
        <n v="26230.850000000002"/>
        <n v="25581.850000000002"/>
        <n v="18804.850000000002"/>
        <n v="18729.850000000002"/>
        <n v="18629.850000000002"/>
        <n v="18493.850000000002"/>
        <n v="10670.850000000002"/>
        <n v="9625.850000000002"/>
        <n v="10055.850000000002"/>
        <n v="10483.850000000002"/>
        <n v="10808.850000000002"/>
        <n v="11236.850000000002"/>
        <n v="11254.850000000002"/>
        <n v="13654.850000000002"/>
        <n v="13979.850000000002"/>
        <n v="14414.850000000002"/>
        <n v="15274.850000000002"/>
        <n v="14910.850000000002"/>
        <n v="12210.850000000002"/>
        <n v="11640.850000000002"/>
        <n v="9746.850000000002"/>
        <n v="9386.850000000002"/>
        <n v="9149.850000000002"/>
        <n v="8674.850000000002"/>
        <n v="7459.850000000002"/>
        <n v="7624.850000000002"/>
        <n v="12424.850000000002"/>
        <n v="18774.850000000002"/>
        <n v="18444.850000000002"/>
        <n v="18414.850000000002"/>
        <n v="18354.850000000002"/>
        <n v="21754.850000000002"/>
        <n v="23044.850000000002"/>
        <n v="23014.850000000002"/>
        <n v="22964.850000000002"/>
        <n v="75094.85"/>
        <n v="70094.85"/>
        <n v="68092.39"/>
        <n v="68042.39"/>
        <n v="64062.39"/>
        <n v="58522.39"/>
        <n v="61522.39"/>
        <n v="61388.39"/>
        <n v="59855.39"/>
        <n v="59779.39"/>
        <n v="59751.8"/>
        <n v="59667.9"/>
        <n v="59627.9"/>
        <n v="59587.9"/>
        <n v="59190.9"/>
        <n v="58558.32"/>
        <n v="58374.32"/>
        <n v="57674.32"/>
        <n v="58399.32"/>
        <n v="57809.32"/>
        <n v="57779.32"/>
        <n v="57709.32"/>
        <n v="57352.32"/>
        <n v="57292.32"/>
        <n v="57113.32"/>
        <n v="56091.32"/>
        <n v="55526.69"/>
        <n v="55326.69"/>
        <n v="52995.69"/>
        <n v="52795.69"/>
        <n v="51795.69"/>
        <n v="51214.69"/>
        <n v="51018.69"/>
        <n v="50861.94"/>
        <n v="50220.94"/>
        <n v="45119.94"/>
        <n v="44006.94"/>
        <n v="40456.94"/>
        <n v="40285.94"/>
        <n v="40113.94"/>
        <n v="40056.94"/>
        <n v="39556.94"/>
        <n v="149289.94"/>
        <n v="149199.34"/>
        <n v="149104.84"/>
        <n v="148970.63999999998"/>
        <n v="148885.8"/>
        <n v="148297.8"/>
        <n v="147886.81999999998"/>
        <n v="143775.81999999998"/>
        <n v="142775.81999999998"/>
        <n v="144275.81999999998"/>
        <n v="143975.81999999998"/>
        <n v="143735.81999999998"/>
        <n v="143250.81999999998"/>
        <n v="142431.81999999998"/>
        <n v="142051.27999999997"/>
        <n v="141051.27999999997"/>
        <n v="139910.27999999997"/>
        <n v="138978.27999999997"/>
        <n v="137258.62999999998"/>
        <n v="136897.62999999998"/>
        <n v="136877.62999999998"/>
        <n v="136461.83"/>
        <n v="135812.83"/>
        <n v="135753.83"/>
        <n v="85753.82999999999"/>
        <n v="85454.82999999999"/>
        <n v="85084.52999999998"/>
        <n v="35084.529999999984"/>
        <n v="34594.529999999984"/>
        <n v="34273.289999999986"/>
        <n v="33131.68999999999"/>
        <n v="33631.68999999999"/>
        <n v="33621.68999999999"/>
        <n v="33200.68999999999"/>
        <n v="30418.609999999986"/>
        <n v="29977.609999999986"/>
        <n v="29926.619999999984"/>
        <n v="29728.619999999984"/>
        <n v="29578.619999999984"/>
        <n v="29224.089999999986"/>
        <n v="29389.089999999986"/>
        <n v="29210.089999999986"/>
        <n v="28853.209999999985"/>
        <n v="28726.569999999985"/>
        <n v="28891.569999999985"/>
        <n v="29591.569999999985"/>
        <n v="32373.649999999987"/>
        <n v="30722.919999999987"/>
        <n v="29659.919999999987"/>
        <n v="30282.589999999986"/>
        <n v="30849.589999999986"/>
        <n v="29749.589999999986"/>
        <n v="28749.589999999986"/>
        <n v="8090.589999999986"/>
        <n v="87623.58999999998"/>
        <n v="87301.63999999998"/>
        <n v="82806.63999999998"/>
        <n v="81513.24999999999"/>
        <n v="80933.24999999999"/>
        <n v="80485.24999999999"/>
        <n v="79411.24999999999"/>
        <n v="77821.24999999999"/>
        <n v="71405.24999999999"/>
        <n v="68706.24999999999"/>
        <n v="68626.24999999999"/>
        <n v="68376.24999999999"/>
        <n v="68576.24999999999"/>
        <n v="69315.24999999999"/>
        <n v="67489.78999999998"/>
        <n v="67430.78999999998"/>
        <n v="67490.78999999998"/>
        <n v="66841.78999999998"/>
        <n v="66651.78999999998"/>
        <n v="66505.78999999998"/>
        <n v="66445.78999999998"/>
        <n v="66415.78999999998"/>
        <n v="66345.78999999998"/>
        <n v="62346.78999999998"/>
        <n v="61133.94999999998"/>
        <n v="60134.94999999998"/>
        <n v="59710.94999999998"/>
        <n v="59610.94999999998"/>
        <n v="59385.94999999998"/>
        <n v="59322.94999999998"/>
        <n v="58428.94999999998"/>
        <n v="47779.94999999998"/>
        <n v="47739.94999999998"/>
        <n v="47659.94999999998"/>
        <n v="46967.86999999998"/>
        <n v="39070.86999999998"/>
        <n v="43680.86999999998"/>
        <n v="18680.86999999998"/>
        <n v="19544.39999999998"/>
        <n v="19245.39999999998"/>
        <n v="19195.39999999998"/>
        <n v="16697.39999999998"/>
        <n v="16526.39999999998"/>
        <n v="16406.39999999998"/>
        <n v="15106.39999999998"/>
        <n v="106.39999999997963"/>
        <n v="3106.3999999999796"/>
        <n v="1006.3999999999796"/>
        <n v="1506.3999999999796"/>
        <n v="9506.39999999998"/>
        <n v="89039.39999999998"/>
        <n v="64039.39999999998"/>
        <n v="63039.39999999998"/>
        <n v="61939.39999999998"/>
        <n v="58941.39999999998"/>
        <n v="33941.39999999998"/>
        <n v="23941.39999999998"/>
        <n v="20332.39999999998"/>
        <n v="20282.39999999998"/>
        <n v="20245.39999999998"/>
        <n v="20195.39999999998"/>
        <n v="19695.39999999998"/>
        <n v="16695.39999999998"/>
        <n v="17395.39999999998"/>
        <n v="16944.19999999998"/>
        <n v="15993.55999999998"/>
        <n v="15493.55999999998"/>
        <n v="15207.55999999998"/>
        <n v="14558.55999999998"/>
        <n v="12733.09999999998"/>
        <n v="11743.09999999998"/>
        <n v="11908.09999999998"/>
        <n v="11675.09999999998"/>
        <n v="7469.09999999998"/>
        <n v="6347.09999999998"/>
        <n v="5987.09999999998"/>
        <n v="5928.09999999998"/>
        <n v="2928.0999999999804"/>
        <n v="3153.0999999999804"/>
        <n v="2854.0999999999804"/>
        <n v="2814.0999999999804"/>
        <n v="2314.0999999999804"/>
        <n v="7314.09999999998"/>
        <n v="5101.09999999998"/>
        <n v="4890.09999999998"/>
        <n v="4840.09999999998"/>
        <n v="4663.09999999998"/>
        <n v="2716.0999999999804"/>
        <n v="1917.0999999999804"/>
        <n v="81450.09999999998"/>
        <n v="76450.09999999998"/>
        <n v="73601.09999999998"/>
        <n v="70487.09999999998"/>
        <n v="69875.04999999997"/>
        <n v="69562.04999999997"/>
        <n v="67462.04999999997"/>
        <n v="67165.04999999997"/>
        <n v="66870.04999999997"/>
        <n v="66820.04999999997"/>
        <n v="65692.04999999997"/>
        <n v="68806.04999999997"/>
        <n v="66358.04999999997"/>
        <n v="26358.049999999974"/>
        <n v="28358.049999999974"/>
        <n v="33690.049999999974"/>
        <n v="33405.049999999974"/>
        <n v="33505.049999999974"/>
        <n v="38469.38999999997"/>
        <n v="47333.23999999997"/>
        <n v="47292.23999999997"/>
        <n v="55292.23999999997"/>
        <n v="34980.23999999997"/>
        <n v="34480.23999999997"/>
        <n v="33831.23999999997"/>
        <n v="31331.23999999997"/>
        <n v="32760.23999999997"/>
        <n v="32697.23999999997"/>
        <n v="32317.23999999997"/>
        <n v="32224.23999999997"/>
        <n v="29074.23999999997"/>
        <n v="28774.23999999997"/>
        <n v="28939.23999999997"/>
        <n v="27113.77999999997"/>
        <n v="21176.77999999997"/>
        <n v="17976.77999999997"/>
        <n v="18176.77999999997"/>
        <n v="18549.77999999997"/>
        <n v="20849.77999999997"/>
        <n v="21391.77999999997"/>
        <n v="22391.77999999997"/>
        <n v="22900.77999999997"/>
        <n v="25400.77999999997"/>
        <n v="28300.77999999997"/>
        <n v="31029.77999999997"/>
        <n v="30970.77999999997"/>
        <n v="29771.77999999997"/>
        <n v="28833.77999999997"/>
        <n v="28659.77999999997"/>
        <n v="28360.77999999997"/>
        <n v="27127.77999999997"/>
        <n v="26834.77999999997"/>
        <n v="106367.77999999997"/>
        <n v="108367.77999999997"/>
        <n v="98367.77999999997"/>
        <n v="98617.77999999997"/>
        <n v="88617.77999999997"/>
        <n v="88127.77999999997"/>
        <n v="87419.42999999996"/>
        <n v="85131.42999999996"/>
        <n v="84596.42999999996"/>
        <n v="84558.42999999996"/>
        <n v="84364.42999999996"/>
        <n v="77249.42999999996"/>
        <n v="77211.42999999996"/>
        <n v="76150.64999999997"/>
        <n v="75921.64999999997"/>
        <n v="75238.42999999996"/>
        <n v="25238.429999999964"/>
        <n v="24920.439999999962"/>
        <n v="27920.439999999962"/>
        <n v="30420.439999999962"/>
        <n v="32550.439999999962"/>
        <n v="30488.979999999963"/>
        <n v="31488.979999999963"/>
        <n v="30839.979999999963"/>
        <n v="30779.979999999963"/>
        <n v="30719.979999999963"/>
        <n v="30590.979999999963"/>
        <n v="29394.319999999963"/>
        <n v="29724.319999999963"/>
        <n v="29889.319999999963"/>
        <n v="27335.319999999963"/>
        <n v="27079.919999999962"/>
        <n v="25981.919999999962"/>
        <n v="24981.919999999962"/>
        <n v="25481.919999999962"/>
        <n v="26681.919999999962"/>
        <n v="26484.919999999962"/>
        <n v="26408.919999999962"/>
        <n v="26332.919999999962"/>
        <n v="19332.919999999962"/>
        <n v="19132.919999999962"/>
        <n v="19049.319999999963"/>
        <n v="18849.319999999963"/>
        <n v="18399.319999999963"/>
        <n v="18349.319999999963"/>
        <n v="18049.319999999963"/>
        <n v="17924.319999999963"/>
        <n v="17841.319999999963"/>
        <n v="17770.069999999963"/>
        <n v="17553.069999999963"/>
        <n v="16655.069999999963"/>
        <n v="17165.069999999963"/>
        <n v="16865.069999999963"/>
        <n v="15066.069999999963"/>
        <n v="15658.069999999963"/>
        <n v="15041.069999999963"/>
        <n v="14679.619999999963"/>
        <n v="94212.61999999997"/>
        <n v="93513.61999999997"/>
        <n v="92713.61999999997"/>
        <n v="92968.61999999997"/>
        <n v="92820.61999999997"/>
        <n v="92720.61999999997"/>
        <n v="92171.61999999997"/>
        <n v="91422.61999999997"/>
        <n v="90552.61999999997"/>
        <n v="90493.61999999997"/>
        <n v="90213.61999999997"/>
        <n v="89252.83999999997"/>
        <n v="88954.03999999996"/>
        <n v="88924.03999999996"/>
        <n v="81204.03999999996"/>
        <n v="81054.03999999996"/>
        <n v="80676.03999999996"/>
        <n v="80564.03999999996"/>
        <n v="80264.03999999996"/>
        <n v="80174.03999999996"/>
        <n v="80094.03999999996"/>
        <n v="79885.03999999996"/>
        <n v="79623.03999999996"/>
        <n v="79111.03999999996"/>
        <n v="78798.03999999996"/>
        <n v="78431.03999999996"/>
        <n v="78686.03999999996"/>
        <n v="78343.83999999997"/>
        <n v="77694.83999999997"/>
        <n v="75869.37999999996"/>
        <n v="75784.37999999996"/>
        <n v="75540.37999999996"/>
        <n v="75037.17999999996"/>
        <n v="74710.49999999997"/>
        <n v="74211.49999999997"/>
        <n v="59211.49999999997"/>
        <n v="57231.49999999997"/>
        <n v="57049.49999999997"/>
        <n v="56554.549999999974"/>
        <n v="56494.549999999974"/>
        <n v="56430.549999999974"/>
        <n v="56398.549999999974"/>
        <n v="55398.549999999974"/>
        <n v="55099.549999999974"/>
        <n v="54599.549999999974"/>
        <n v="54409.549999999974"/>
        <n v="54275.549999999974"/>
        <n v="133808.55"/>
        <n v="133632.55"/>
        <n v="133573.55"/>
        <n v="129894.54999999999"/>
        <n v="129777.72999999998"/>
        <n v="129277.72999999998"/>
        <n v="129265.72999999998"/>
        <n v="128865.72999999998"/>
        <n v="127040.26999999997"/>
        <n v="126882.26999999997"/>
        <n v="126724.26999999997"/>
        <n v="126566.26999999997"/>
        <n v="126892.26999999997"/>
        <n v="126243.26999999997"/>
        <n v="126051.26999999997"/>
        <n v="125201.26999999997"/>
        <n v="125149.26999999997"/>
        <n v="125319.26999999997"/>
        <n v="171429.26999999996"/>
        <n v="171271.26999999996"/>
        <n v="166271.26999999996"/>
        <n v="162142.44999999995"/>
        <n v="161828.44999999995"/>
        <n v="158319.44999999995"/>
        <n v="156609.74999999994"/>
        <n v="154683.74999999994"/>
        <n v="154283.74999999994"/>
        <n v="161637.74999999994"/>
        <n v="161426.94999999995"/>
        <n v="161348.94999999995"/>
        <n v="160877.27999999994"/>
        <n v="160772.27999999994"/>
        <n v="160068.82999999993"/>
        <n v="140068.82999999993"/>
        <n v="137600.82999999993"/>
        <n v="137301.82999999993"/>
        <n v="109301.82999999993"/>
        <n v="108590.82999999993"/>
        <n v="108091.82999999993"/>
        <n v="107892.82999999993"/>
        <n v="47892.82999999993"/>
        <n v="47192.82999999993"/>
        <n v="46768.62999999993"/>
        <n v="46468.62999999993"/>
        <n v="47037.62999999993"/>
        <n v="46937.62999999993"/>
        <n v="44437.62999999993"/>
        <n v="44116.62999999993"/>
        <n v="43782.62999999993"/>
        <n v="43460.37999999993"/>
        <n v="42990.37999999993"/>
        <n v="42520.37999999993"/>
        <n v="122053.37999999993"/>
        <n v="62053.37999999993"/>
        <n v="32053.379999999932"/>
        <n v="32044.379999999932"/>
        <n v="31944.379999999932"/>
        <n v="31644.379999999932"/>
        <n v="28144.379999999932"/>
        <n v="27672.379999999932"/>
        <n v="57672.37999999993"/>
        <n v="57273.22999999993"/>
        <n v="57044.32999999993"/>
        <n v="55054.32999999993"/>
        <n v="40064.32999999993"/>
        <n v="39619.37999999993"/>
        <n v="33072.37999999993"/>
        <n v="33005.37999999993"/>
        <n v="32578.379999999932"/>
        <n v="32407.379999999932"/>
        <n v="31949.379999999932"/>
        <n v="30383.99999999993"/>
        <n v="29273.99999999993"/>
        <n v="27448.53999999993"/>
        <n v="26997.509999999933"/>
        <n v="26409.139999999934"/>
        <n v="26120.139999999934"/>
        <n v="25488.189999999933"/>
        <n v="22389.469999999932"/>
        <n v="18080.469999999932"/>
        <n v="18017.469999999932"/>
        <n v="16623.469999999932"/>
        <n v="15974.469999999932"/>
        <n v="15579.469999999932"/>
        <n v="15335.469999999932"/>
        <n v="14752.769999999931"/>
        <n v="13882.769999999931"/>
        <n v="13358.869999999932"/>
        <n v="12229.869999999932"/>
        <n v="11836.969999999932"/>
        <n v="10180.969999999932"/>
        <n v="10037.969999999932"/>
        <n v="9824.969999999932"/>
        <n v="9305.169999999933"/>
        <n v="29305.169999999933"/>
        <n v="29036.35999999993"/>
        <n v="29010.35999999993"/>
        <n v="28624.35999999993"/>
        <n v="27374.35999999993"/>
        <n v="26829.35999999993"/>
        <n v="26329.17999999993"/>
        <n v="26129.17999999993"/>
        <n v="25799.47999999993"/>
        <n v="25699.47999999993"/>
        <n v="23323.47999999993"/>
        <n v="23024.47999999993"/>
        <n v="22425.47999999993"/>
        <n v="21840.47999999993"/>
        <n v="21633.47999999993"/>
        <n v="21334.01999999993"/>
        <n v="20864.399999999932"/>
        <n v="20628.74999999993"/>
        <n v="20526.74999999993"/>
        <n v="19990.66999999993"/>
        <n v="19520.25999999993"/>
        <n v="19228.25999999993"/>
        <n v="19148.25999999993"/>
        <n v="18450.609999999928"/>
        <n v="97983.60999999993"/>
        <n v="77983.60999999993"/>
        <n v="77784.60999999993"/>
        <n v="77524.60999999993"/>
        <n v="77474.60999999993"/>
        <n v="47474.60999999993"/>
        <n v="47179.60999999993"/>
        <n v="45995.60999999993"/>
        <n v="45985.60999999993"/>
        <n v="36523.60999999993"/>
        <n v="36521.74999999993"/>
        <n v="36301.74999999993"/>
        <n v="36066.74999999993"/>
        <n v="35712.79999999993"/>
        <n v="35502.79999999993"/>
        <n v="65502.79999999993"/>
        <n v="65419.79999999993"/>
        <n v="65089.79999999993"/>
        <n v="28633.79999999993"/>
        <n v="28253.09999999993"/>
        <n v="27864.449999999928"/>
        <n v="25629.87999999993"/>
        <n v="25021.02999999993"/>
        <n v="24266.02999999993"/>
        <n v="24646.02999999993"/>
        <n v="24553.02999999993"/>
        <n v="24363.02999999993"/>
        <n v="22511.02999999993"/>
        <n v="20659.02999999993"/>
        <n v="19534.13999999993"/>
        <n v="18639.73999999993"/>
        <n v="18561.73999999993"/>
        <n v="18501.73999999993"/>
        <n v="17524.73999999993"/>
        <n v="16869.859999999928"/>
        <n v="16220.859999999928"/>
        <n v="15970.859999999928"/>
        <n v="15925.859999999928"/>
        <n v="14001.399999999929"/>
        <n v="13961.399999999929"/>
        <n v="10961.399999999929"/>
        <n v="10917.399999999929"/>
        <n v="9314.399999999929"/>
        <n v="8215.399999999929"/>
        <n v="8155.399999999929"/>
        <n v="8165.399999999929"/>
        <n v="7666.399999999929"/>
        <n v="6766.399999999929"/>
        <n v="6409.399999999929"/>
        <n v="6155.399999999929"/>
        <n v="4363.399999999929"/>
        <n v="4025.299999999929"/>
        <n v="2815.3799999999287"/>
        <n v="2210.4199999999287"/>
        <n v="2512.4199999999287"/>
        <n v="2814.4199999999287"/>
        <n v="3418.4199999999287"/>
        <n v="648.4199999999287"/>
        <n v="2033.4199999999287"/>
        <n v="2335.4199999999287"/>
        <n v="1500.4199999999287"/>
        <n v="1450.4199999999287"/>
        <n v="290.4199999999287"/>
        <n v="590.4199999999287"/>
        <n v="490.4199999999287"/>
        <n v="390.4199999999287"/>
        <n v="690.4199999999287"/>
        <n v="990.4199999999287"/>
        <n v="613.4199999999287"/>
        <n v="1273.4199999999287"/>
        <n v="974.4199999999287"/>
        <n v="899.4199999999287"/>
        <n v="415.9699999999287"/>
        <n v="270.9699999999287"/>
        <n v="375.9699999999287"/>
        <n v="147.9699999999287"/>
        <n v="129680.96999999993"/>
        <n v="128180.96999999993"/>
        <n v="127710.96999999993"/>
        <n v="127590.96999999993"/>
        <n v="127500.96999999993"/>
        <n v="127410.96999999993"/>
        <n v="127260.96999999993"/>
        <n v="112060.96999999993"/>
        <n v="92060.96999999993"/>
        <n v="91785.96999999993"/>
        <n v="91605.96999999993"/>
        <n v="85651.96999999993"/>
        <n v="85351.96999999993"/>
        <n v="84713.96999999993"/>
        <n v="84568.96999999993"/>
        <n v="80677.96999999993"/>
        <n v="81064.96999999993"/>
        <n v="80924.96999999993"/>
        <n v="80245.96999999993"/>
        <n v="80165.96999999993"/>
        <n v="79095.96999999993"/>
        <n v="79055.96999999993"/>
        <n v="79025.96999999993"/>
        <n v="72525.96999999993"/>
        <n v="72725.96999999993"/>
        <n v="72645.96999999993"/>
        <n v="72125.96999999993"/>
        <n v="71860.96999999993"/>
        <n v="71460.96999999993"/>
        <n v="71610.96999999993"/>
        <n v="71556.96999999993"/>
        <n v="71414.96999999993"/>
        <n v="70871.55999999992"/>
        <n v="68947.09999999992"/>
        <n v="68797.09999999992"/>
        <n v="68775.09999999992"/>
        <n v="68750.09999999992"/>
        <n v="62050.09999999992"/>
        <n v="60969.659999999916"/>
        <n v="60554.659999999916"/>
        <n v="59392.829999999914"/>
        <n v="59282.59999999991"/>
        <n v="58633.59999999991"/>
        <n v="58593.59999999991"/>
        <n v="57708.59999999991"/>
        <n v="57654.59999999991"/>
        <n v="57289.59999999991"/>
        <n v="56209.59999999991"/>
        <n v="56519.59999999991"/>
        <n v="55973.59999999991"/>
        <n v="55593.59999999991"/>
        <n v="55653.59999999991"/>
        <n v="56193.59999999991"/>
        <n v="56131.59999999991"/>
        <n v="56094.59999999991"/>
        <n v="55688.24999999991"/>
        <n v="55158.24999999991"/>
        <n v="55148.24999999991"/>
        <n v="57383.24999999991"/>
        <n v="57293.24999999991"/>
        <n v="57191.649999999914"/>
        <n v="57092.219999999914"/>
        <n v="57013.01999999992"/>
        <n v="56353.369999999915"/>
        <n v="55681.369999999915"/>
        <n v="54981.369999999915"/>
        <n v="55331.369999999915"/>
        <n v="54911.369999999915"/>
        <n v="54712.92999999991"/>
        <n v="54632.92999999991"/>
        <n v="53072.92999999991"/>
        <n v="52822.92999999991"/>
        <n v="52882.92999999991"/>
        <n v="22882.929999999913"/>
        <n v="22454.929999999913"/>
        <n v="22560.929999999913"/>
        <n v="22410.929999999913"/>
        <n v="22382.929999999913"/>
        <n v="22083.929999999913"/>
        <n v="21111.929999999913"/>
        <n v="19929.929999999913"/>
        <n v="19691.929999999913"/>
        <n v="18985.929999999913"/>
        <n v="18532.929999999913"/>
        <n v="18319.929999999913"/>
        <n v="17608.879999999914"/>
        <n v="17559.879999999914"/>
        <n v="16958.869999999915"/>
        <n v="17199.869999999915"/>
        <n v="14649.919999999915"/>
        <n v="14509.919999999915"/>
        <n v="14619.919999999915"/>
        <n v="94152.91999999991"/>
        <n v="94010.91999999991"/>
        <n v="93534.91999999991"/>
        <n v="97034.91999999991"/>
        <n v="96955.91999999991"/>
        <n v="126955.91999999991"/>
        <n v="126542.91999999991"/>
        <n v="125165.91999999991"/>
        <n v="125715.91999999991"/>
        <n v="105715.91999999991"/>
        <n v="105990.91999999991"/>
        <n v="108540.91999999991"/>
        <n v="107221.91999999991"/>
        <n v="106661.91999999991"/>
        <n v="106635.91999999991"/>
        <n v="106410.91999999991"/>
        <n v="106400.91999999991"/>
        <n v="106675.91999999991"/>
        <n v="106131.91999999991"/>
        <n v="106019.91999999991"/>
        <n v="105819.91999999991"/>
        <n v="105919.91999999991"/>
        <n v="106054.91999999991"/>
        <n v="100758.01999999992"/>
        <n v="103782.01999999992"/>
        <n v="104538.01999999992"/>
        <n v="104248.01999999992"/>
        <n v="104078.01999999992"/>
        <n v="103798.01999999992"/>
        <n v="103017.01999999992"/>
        <n v="103574.01999999992"/>
        <n v="103225.01999999992"/>
        <n v="102777.01999999992"/>
        <n v="102378.01999999992"/>
        <n v="102168.01999999992"/>
        <n v="102058.01999999992"/>
        <n v="101341.01999999992"/>
        <n v="101101.01999999992"/>
        <n v="100555.01999999992"/>
        <n v="95555.01999999992"/>
        <n v="94420.01999999992"/>
        <n v="93528.01999999992"/>
        <n v="92879.01999999992"/>
        <n v="90954.55999999991"/>
        <n v="90534.30999999991"/>
        <n v="89793.30999999991"/>
        <n v="89413.30999999991"/>
        <n v="89228.30999999991"/>
        <n v="87627.90999999992"/>
        <n v="87432.90999999992"/>
        <n v="87332.90999999992"/>
        <n v="86934.90999999992"/>
        <n v="86840.90999999992"/>
        <n v="85952.34999999992"/>
        <n v="86537.34999999992"/>
        <n v="85651.98999999992"/>
        <n v="89151.98999999992"/>
        <n v="89083.98999999992"/>
        <n v="88537.53999999992"/>
        <n v="86634.53999999992"/>
        <n v="86421.53999999992"/>
        <n v="86211.53999999992"/>
        <n v="86121.53999999992"/>
        <n v="86089.53999999992"/>
        <n v="85052.53999999992"/>
        <n v="84406.53999999992"/>
        <n v="84496.53999999992"/>
        <n v="84502.53999999992"/>
        <n v="84592.53999999992"/>
        <n v="84132.53999999992"/>
        <n v="54132.53999999992"/>
        <n v="54222.53999999992"/>
        <n v="53436.53999999992"/>
        <n v="48436.53999999992"/>
        <n v="48626.53999999992"/>
        <n v="48716.53999999992"/>
        <n v="48136.53999999992"/>
        <n v="48246.53999999992"/>
        <n v="48216.53999999992"/>
        <n v="47966.53999999992"/>
        <n v="47667.53999999992"/>
        <n v="47145.53999999992"/>
        <n v="46553.53999999992"/>
        <n v="46493.53999999992"/>
        <n v="46191.53999999992"/>
        <n v="45891.53999999992"/>
        <n v="45756.09999999992"/>
        <n v="45656.09999999992"/>
        <n v="45052.28999999992"/>
        <n v="44642.28999999992"/>
        <n v="44429.28999999992"/>
        <n v="43431.28999999992"/>
        <n v="42917.28999999992"/>
        <n v="42514.28999999992"/>
        <n v="41515.28999999992"/>
        <n v="41375.28999999992"/>
        <n v="40995.28999999992"/>
        <n v="40576.28999999992"/>
        <n v="39838.06999999992"/>
        <n v="38827.96999999992"/>
        <n v="36827.96999999992"/>
        <n v="36250.96999999992"/>
        <n v="35743.96999999992"/>
        <n v="31175.96999999992"/>
        <n v="22593.96999999992"/>
        <n v="22719.96999999992"/>
        <n v="129415.96999999991"/>
        <n v="128890.96999999991"/>
        <n v="128590.96999999991"/>
        <n v="128245.96999999991"/>
        <n v="128167.96999999991"/>
        <n v="129167.96999999991"/>
        <n v="129104.96999999991"/>
        <n v="109104.96999999991"/>
        <n v="108618.96999999991"/>
        <n v="108708.96999999991"/>
        <n v="108798.96999999991"/>
        <n v="108818.96999999991"/>
        <n v="107493.91999999991"/>
        <n v="107039.66999999991"/>
        <n v="108819.66999999991"/>
        <n v="108737.66999999991"/>
        <n v="108843.66999999991"/>
        <n v="108321.86999999991"/>
        <n v="104075.86999999991"/>
        <n v="102959.86999999991"/>
        <n v="102909.86999999991"/>
        <n v="102510.96999999991"/>
        <n v="101814.96999999991"/>
        <n v="106814.96999999991"/>
        <n v="106914.96999999991"/>
        <n v="107024.96999999991"/>
        <n v="107025.96999999991"/>
        <n v="106421.96999999991"/>
        <n v="106511.96999999991"/>
        <n v="106356.96999999991"/>
        <n v="106281.96999999991"/>
        <n v="104344.52999999991"/>
        <n v="104450.52999999991"/>
        <n v="104150.52999999991"/>
        <n v="103730.52999999991"/>
        <n v="104230.52999999991"/>
        <n v="103930.52999999991"/>
        <n v="103630.52999999991"/>
        <n v="101683.52999999991"/>
        <n v="101363.52999999991"/>
        <n v="101208.52999999991"/>
        <n v="101148.52999999991"/>
        <n v="100189.52999999991"/>
        <n v="100021.52999999991"/>
        <n v="97268.52999999991"/>
        <n v="92268.52999999991"/>
        <n v="92378.52999999991"/>
        <n v="91729.52999999991"/>
        <n v="90319.58999999991"/>
        <n v="89806.08999999991"/>
        <n v="88637.08999999991"/>
        <n v="88138.08999999991"/>
        <n v="85090.08999999991"/>
        <n v="84422.02999999991"/>
        <n v="84028.02999999991"/>
        <n v="83858.02999999991"/>
        <n v="83369.02999999991"/>
        <n v="83299.02999999991"/>
        <n v="82685.72999999991"/>
        <n v="82655.72999999991"/>
        <n v="82347.72999999991"/>
        <n v="81795.43999999992"/>
        <n v="81496.43999999992"/>
        <n v="79496.43999999992"/>
        <n v="79332.43999999992"/>
        <n v="79337.43999999992"/>
        <n v="78414.43999999992"/>
        <n v="78693.43999999992"/>
        <n v="79053.43999999992"/>
        <n v="75527.43999999992"/>
        <n v="73928.43999999992"/>
        <n v="73269.93999999992"/>
        <n v="72997.93999999992"/>
        <n v="71037.93999999992"/>
        <n v="70470.53999999992"/>
        <n v="70086.77999999993"/>
        <n v="69831.77999999993"/>
        <n v="69833.77999999993"/>
        <n v="67999.77999999993"/>
        <n v="57999.779999999926"/>
        <n v="57448.809999999925"/>
        <n v="57119.809999999925"/>
        <n v="163815.80999999994"/>
        <n v="163755.80999999994"/>
        <n v="163615.80999999994"/>
        <n v="163400.33999999994"/>
        <n v="162184.66999999993"/>
        <n v="161602.40999999992"/>
        <n v="161552.40999999992"/>
        <n v="160282.2499999999"/>
        <n v="159925.2499999999"/>
        <n v="159755.2499999999"/>
        <n v="139755.2499999999"/>
        <n v="139659.2499999999"/>
        <n v="139660.63999999993"/>
        <n v="137757.2199999999"/>
        <n v="136117.2199999999"/>
        <n v="136402.2199999999"/>
        <n v="132910.9699999999"/>
        <n v="128899.91999999991"/>
        <n v="128599.91999999991"/>
        <n v="128549.91999999991"/>
        <n v="127549.91999999991"/>
        <n v="125997.91999999991"/>
        <n v="125197.91999999991"/>
        <n v="123197.91999999991"/>
        <n v="121502.91999999991"/>
        <n v="121462.91999999991"/>
        <n v="121377.91999999991"/>
        <n v="121177.91999999991"/>
        <n v="120737.51999999992"/>
        <n v="119637.51999999992"/>
        <n v="119170.36999999992"/>
        <n v="118764.36999999992"/>
        <n v="118526.36999999992"/>
        <n v="116330.36999999992"/>
        <n v="115754.21999999993"/>
        <n v="115167.36999999992"/>
        <n v="114230.27999999993"/>
        <n v="112219.27999999993"/>
        <n v="108646.27999999993"/>
        <n v="108491.27999999993"/>
        <n v="108341.27999999993"/>
        <n v="108027.27999999993"/>
        <n v="107378.27999999993"/>
        <n v="106958.51999999993"/>
        <n v="98630.51999999993"/>
        <n v="94081.51999999993"/>
        <n v="93861.51999999993"/>
        <n v="93460.46999999993"/>
        <n v="91536.00999999992"/>
        <n v="91500.00999999992"/>
        <n v="99000.00999999992"/>
        <n v="99900.00999999992"/>
        <n v="99168.00999999992"/>
        <n v="98781.95999999992"/>
        <n v="98581.95999999992"/>
        <n v="97224.95999999992"/>
        <n v="97495.95999999992"/>
        <n v="95596.15999999992"/>
        <n v="95325.15999999992"/>
        <n v="94990.15999999992"/>
        <n v="94165.96999999991"/>
        <n v="93965.96999999991"/>
        <n v="93877.96999999991"/>
        <n v="93817.96999999991"/>
        <n v="93031.76999999992"/>
        <n v="91987.01999999992"/>
        <n v="90942.26999999992"/>
        <n v="90493.26999999992"/>
        <n v="90331.56999999992"/>
        <n v="89932.56999999992"/>
        <n v="89934.97999999992"/>
        <n v="89750.97999999992"/>
        <n v="91063.97999999992"/>
        <n v="90752.07999999993"/>
        <n v="90912.07999999993"/>
        <n v="91183.36999999992"/>
        <n v="91093.36999999992"/>
        <n v="91364.65999999992"/>
        <n v="91795.65999999992"/>
        <n v="92840.40999999992"/>
        <n v="91439.40999999992"/>
        <n v="91649.40999999992"/>
        <n v="91809.40999999992"/>
        <n v="92079.40999999992"/>
        <n v="92350.68999999992"/>
        <n v="92621.97999999991"/>
        <n v="92083.97999999991"/>
        <n v="92197.97999999991"/>
        <n v="91802.07999999991"/>
        <n v="91503.07999999991"/>
        <n v="91318.07999999991"/>
        <n v="90517.07999999991"/>
        <n v="89979.07999999991"/>
        <n v="91292.07999999991"/>
        <n v="90616.07999999991"/>
        <n v="89510.07999999991"/>
        <n v="88440.07999999991"/>
        <n v="87783.84999999992"/>
        <n v="87983.84999999992"/>
        <n v="62983.84999999992"/>
        <n v="63446.84999999992"/>
        <n v="63909.84999999992"/>
        <n v="62379.84999999992"/>
        <n v="60530.439999999915"/>
        <n v="60046.33999999992"/>
        <n v="60426.33999999992"/>
        <n v="62226.33999999992"/>
        <s v=""/>
      </sharedItems>
    </cacheField>
    <cacheField name="Notes" numFmtId="0">
      <sharedItems containsBlank="1">
        <m/>
        <s v="License"/>
        <s v="Snehith"/>
        <s v="Convocation Shirt"/>
        <s v="Truffles Order"/>
        <s v="Mom's Kitty"/>
        <s v="Scooty"/>
        <s v="Bhavye Ticket"/>
        <s v="Chat"/>
        <s v="Muskan"/>
        <s v="Pant Project"/>
        <s v="Shreyas Gift"/>
        <s v="Imtiyaz, Shreyas Gift"/>
        <s v="Auto"/>
        <s v="TEDx Photos"/>
        <s v="Lunch"/>
        <s v="Father"/>
        <s v="Mandala Frame"/>
        <s v="Kanva Camp"/>
        <s v="Power bank"/>
        <s v="Muskaan"/>
        <s v="Metro"/>
        <s v="Bhavye Lebanese"/>
        <s v="Bhavye Mirinda"/>
        <s v="Trip Snacks"/>
        <s v="Netflix"/>
        <s v="Oia After Kanva"/>
        <s v="Eatables"/>
        <s v="Haircut"/>
        <s v="hairspray"/>
        <s v="Maize &amp; Malt"/>
        <s v="Vishnu"/>
        <s v="Mohit"/>
        <s v="Imtiyaz"/>
        <s v="Mafaaz"/>
        <s v="Harshit + Himannshu"/>
        <s v="Cab"/>
        <s v="Go Cart"/>
        <s v="Biryani Lunch"/>
        <s v="Shorts + Milk"/>
        <s v="Rishabh"/>
        <s v="Manit"/>
        <s v="Bhavye"/>
        <s v="Airport Coffee"/>
        <s v="Sarthak"/>
        <s v="Gautam"/>
        <s v="FY 23-24"/>
        <s v="Phone + Wifi"/>
        <s v="Uniqlo"/>
        <s v="Tamanna"/>
        <s v="PVR"/>
        <s v="Train Pizza"/>
        <s v="Muskan Samosa Party"/>
        <s v="TV"/>
        <s v="Hannah"/>
        <s v="Village Pizza"/>
        <s v="Snacks"/>
        <s v="Train Food"/>
        <s v="Farzi Cafe"/>
        <s v="Airport"/>
        <s v="Ice Cream"/>
        <s v="Clothes"/>
        <s v="Utensils"/>
        <s v="Zara Shirt"/>
        <s v="Bike"/>
        <s v="Metro Card"/>
        <s v="Samosa"/>
        <s v="Cake"/>
        <s v="Oia Family"/>
        <s v="Shivasamudra"/>
        <s v="Bisleri"/>
        <s v="Harshit Watch"/>
        <s v="Harshit Ice Cream"/>
        <s v="Airtel"/>
        <s v="Tea"/>
        <s v="Debit Card"/>
        <s v="Water Bottle"/>
        <s v="Movie"/>
        <s v="Office Lunch"/>
        <s v="Movie Lunch"/>
        <s v="Pizza"/>
        <s v="Youtube"/>
        <s v="Harshit"/>
        <s v="Office Return"/>
        <s v="Pizza Return"/>
        <s v="Flight"/>
        <s v="Bag"/>
        <s v="Pizza Hut"/>
        <s v="Parking"/>
        <s v="Navratri"/>
        <s v="Roshani"/>
        <s v="Rishabh YT"/>
        <s v="Water"/>
        <s v="Airport Breakfast"/>
        <s v="Muskan Jacket"/>
        <s v="Winter Pants"/>
        <s v="Shakes"/>
        <s v="Bke"/>
        <s v="Shoes"/>
        <s v="Dinner"/>
        <s v="Ashu Bhaiya"/>
        <s v="Decathlon "/>
        <s v="Glasses"/>
        <s v="Kaza Shop "/>
        <s v="Spiti Payment"/>
        <s v="Google One"/>
        <s v="Rose Di"/>
        <s v="Suitcase + Tshirt"/>
        <s v="Trip Split"/>
        <s v="Barber"/>
        <s v="Bowling"/>
        <s v="Zepto Cable &amp; Towels"/>
        <s v="Yearbook Papers"/>
        <s v="Yearbook A5 Sample"/>
        <s v="Airtel Postpaid + Wifi"/>
        <s v="Blinkit"/>
        <s v="Bhavye Netlifx"/>
        <s v="Stop n Shop"/>
        <s v="Zudio Clothes"/>
        <s v="Yearbook Sample"/>
        <s v="RTO"/>
        <s v="Google"/>
        <s v="Yearbook Master"/>
        <s v="Doc Print"/>
        <s v="Aadhar"/>
        <s v="Cheque Book"/>
        <s v="Souled Store"/>
        <s v="Amazon Prime"/>
        <s v="Salary"/>
        <s v="Suitcase"/>
        <s v="Keyboard"/>
        <s v="Lotions"/>
        <s v="Document Print"/>
        <s v="Document Parcel"/>
        <s v="Parcel Tip"/>
        <s v="Amazon refund"/>
        <s v="Tedx Epoch Team Day"/>
        <s v="Yearbook"/>
        <s v="Donation"/>
        <s v="DL Expense"/>
        <s v="Grocery"/>
        <s v="Yearbook Meetup"/>
        <s v="Aishwarya"/>
        <s v="Himanshu"/>
        <s v="Duolingo"/>
        <s v="Sanjana"/>
        <s v="Interest"/>
        <s v="Mouse"/>
        <s v="Muskan Phone"/>
        <s v="Powerbank"/>
        <s v="Website"/>
        <s v="Print"/>
        <s v="Breakfast"/>
        <s v="Bhavye Netflix"/>
        <s v="Rishabh Netflix"/>
        <s v="Interstellar"/>
        <s v="Tshirts"/>
        <s v="Lal Bagh"/>
        <s v="Car"/>
        <s v="Pants"/>
        <s v="Himture"/>
        <s v="Earphones"/>
        <s v="SonyLiv"/>
        <s v="Urbanclap"/>
        <s v="TEDx"/>
        <s v="Anushka"/>
        <s v="Cash Deposit Tax"/>
        <s v="JioHotstar"/>
        <s v="ToothBrush"/>
        <s v="YT Rishabh"/>
        <s v="Xbox"/>
        <s v="Cable"/>
        <s v="Bhavye Game"/>
        <s v="Rishabh Game"/>
        <s v="Pizza TEDx"/>
        <s v="Bonus"/>
        <s v="Nobroker"/>
        <s v="Talent Food"/>
        <s v="Flat"/>
        <s v="Airtel Sim"/>
        <s v="Porter"/>
        <s v="Airtel DTH"/>
        <s v="Gas Connection"/>
        <s v="Truck"/>
        <s v="Zomato"/>
        <s v="Dominos"/>
        <s v="Iron"/>
        <s v="Fridge"/>
        <s v="EatClub"/>
        <s v="Washing Machine"/>
        <s v="Star Bazaar"/>
        <s v="Dmart"/>
        <s v="Smart Bazaar"/>
        <s v="Table"/>
        <s v="Zepto"/>
        <s v="Vishal Mega Mart"/>
        <s v="Licious"/>
        <s v="Milk"/>
        <s v="Amazon"/>
        <s v="Arogaya"/>
        <s v="Tacobell"/>
        <s v="Rent"/>
        <s v="Airtel Prepaid"/>
        <s v="Groceries"/>
        <s v="Tomato"/>
        <s v="Motorola Edge 60 pro"/>
        <s v="Lovable"/>
        <s v="Punjabi Rasoi"/>
        <s v="Uber"/>
        <s v="Taco Bell"/>
        <s v="Mother"/>
        <s v="Zudio"/>
        <s v="Mr DIY"/>
        <s v="Hotstar"/>
        <s v="Samosa Party"/>
        <s v="Rohit"/>
        <s v="Office Pizza"/>
        <s v="Anurag"/>
        <s v="Jeevitesh"/>
        <s v="Amaan"/>
        <s v="Youtube Premium"/>
        <s v="Office Zomato"/>
        <s v="eRupee"/>
        <s v="Salary + Hackathon "/>
        <s v="Namaste"/>
        <s v="Asha Tiffins"/>
        <s v="Gym Subscription"/>
        <s v="Scooty Service"/>
        <s v="Refund"/>
        <s v="Sakshi Gift"/>
        <s v="Srinidhi + Sanchi"/>
        <s v="MyMarket"/>
        <s v="Arogya"/>
        <s v="Wifi"/>
        <s v="LovePreet"/>
        <s v="Standup"/>
        <s v="Udupi"/>
        <s v="Rapido"/>
        <s v="California Burrito"/>
        <s v="Kaustav"/>
        <s v="Tallect Refund"/>
        <s v="Bharath"/>
        <s v="Burger King"/>
        <s v="Empire Dinner"/>
        <s v="Abhishek"/>
        <s v="Prit"/>
        <s v="California Burrito bhavye"/>
        <s v="Nishit Khanna"/>
        <s v="Babbai"/>
        <s v="Aayushi"/>
        <s v="Shawarma"/>
        <s v="Juice"/>
        <s v="Binkit"/>
        <s v="Swiggy"/>
        <s v="Kebab Maker"/>
        <s v="GoPizza"/>
        <s v="High Street"/>
        <s v="Wayanad Trip"/>
        <s v="Netfix"/>
        <s v="Babai"/>
        <s v="Brahma Cafe"/>
        <s v="Naman"/>
        <s v="ISH"/>
        <s v="Printo"/>
        <s v="Pune Flight"/>
        <s v="August"/>
        <s v="Rasheed"/>
        <s v="Prithvi"/>
        <s v="Office"/>
        <s v="Nishit Gupta"/>
        <s v="Sneha"/>
        <s v="Pune"/>
        <s v="Dr. Renu"/>
        <s v="Orange Labs"/>
        <s v="Apollo Pharmacy"/>
        <s v="Wallet"/>
        <s v="HSR High Street"/>
        <s v="Tip"/>
        <s v="Salon"/>
        <s v="Electricity Bill"/>
        <s v="Cashback"/>
        <s v="Bike Rent / Nelagiri"/>
        <s v="California Burrito / Yelagiri"/>
        <s v="Yelagiri"/>
        <s v="Peters Restaurant / Yelagiri"/>
        <s v="Bike Rent / Yelagiri"/>
        <s v="StarBazaar"/>
        <s v="Lokah"/>
        <s v="Demon Slayer"/>
        <s v="McD"/>
        <s v="Debit Card Fee"/>
        <s v="Harshit Yelagiri"/>
        <s v="Prathmesh"/>
        <s v="Pradeep"/>
        <s v="Vijay"/>
        <s v="TT"/>
        <s v="Prem Yelagiri"/>
        <s v="Babai Tiffins"/>
        <s v="Firos"/>
        <s v="GrowFit"/>
        <s v="Cursor"/>
        <s v="Shreyas"/>
      </sharedItems>
    </cacheField>
    <cacheField name="Groups" numFmtId="0">
      <sharedItems containsBlank="1">
        <m/>
        <s v="G6"/>
        <s v="G1"/>
        <s v="G2"/>
        <s v="G5"/>
        <s v="G7"/>
        <s v="G3"/>
        <s v="G4"/>
        <s v="G1 / G4 / G7"/>
        <s v="G1 / G2 / G4 / G5 / G7"/>
        <s v="G1 / G7"/>
        <s v="G9"/>
        <s v="G10"/>
        <s v="G11"/>
        <s v="G10 / G11"/>
        <s v="G12"/>
        <s v="G13"/>
        <s v="G14"/>
      </sharedItems>
    </cacheField>
    <cacheField name="Month">
      <sharedItems containsMixedTypes="1" containsNumber="1" containsInteger="1">
        <n v="8.0"/>
        <n v="9.0"/>
        <n v="10.0"/>
        <n v="11.0"/>
        <n v="12.0"/>
        <n v="1.0"/>
        <n v="2.0"/>
        <n v="3.0"/>
        <n v="4.0"/>
        <n v="5.0"/>
        <n v="6.0"/>
        <n v="7.0"/>
        <s v=""/>
      </sharedItems>
    </cacheField>
    <cacheField name="Year">
      <sharedItems containsMixedTypes="1" containsNumber="1" containsInteger="1">
        <n v="2024.0"/>
        <n v="2025.0"/>
        <s v="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s" cacheId="0" dataCaption="" compact="0" compactData="0">
  <location ref="A3:E55" firstHeaderRow="0" firstDataRow="4" firstDataCol="0" rowPageCount="1" colPageCount="1"/>
  <pivotFields>
    <pivotField name="Index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Category" axis="axisRow" compact="0" outline="0" multipleItemSelectionAllowed="1" showAll="0" sortType="ascending">
      <items>
        <item sd="0" x="0"/>
        <item x="17"/>
        <item x="4"/>
        <item sd="0" x="5"/>
        <item x="9"/>
        <item sd="0" x="2"/>
        <item x="14"/>
        <item x="18"/>
        <item sd="0" x="1"/>
        <item x="10"/>
        <item x="16"/>
        <item sd="0" x="13"/>
        <item sd="0" x="3"/>
        <item sd="0" x="12"/>
        <item sd="0" x="6"/>
        <item x="11"/>
        <item sd="0" x="8"/>
        <item sd="0" x="7"/>
        <item sd="0" x="15"/>
        <item t="default"/>
      </items>
    </pivotField>
    <pivotField name="Sub Category" axis="axisRow" compact="0" outline="0" multipleItemSelectionAllowed="1" showAll="0" sortType="ascending">
      <items>
        <item x="0"/>
        <item x="3"/>
        <item x="8"/>
        <item x="2"/>
        <item x="9"/>
        <item x="1"/>
        <item x="6"/>
        <item x="7"/>
        <item x="4"/>
        <item x="5"/>
        <item t="default"/>
      </items>
    </pivotField>
    <pivotField name="Amount (39050.57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Balance (62226.3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ame="Grou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axis="axisRow" compact="0" outline="0" multipleItemSelectionAllowed="1" showAll="0" sortType="ascending">
      <items>
        <item sd="0" x="5"/>
        <item sd="0" x="6"/>
        <item sd="0" x="7"/>
        <item sd="0" x="8"/>
        <item sd="0" x="9"/>
        <item sd="0" x="10"/>
        <item x="11"/>
        <item sd="0" x="0"/>
        <item x="1"/>
        <item x="2"/>
        <item x="3"/>
        <item sd="0" x="4"/>
        <item x="12"/>
        <item t="default"/>
      </items>
    </pivotField>
    <pivotField name="Year" axis="axisRow" compact="0" outline="0" multipleItemSelectionAllowed="1" showAll="0" sortType="ascending">
      <items>
        <item sd="0" x="0"/>
        <item x="1"/>
        <item sd="0" x="2"/>
        <item t="default"/>
      </items>
    </pivotField>
  </pivotFields>
  <rowFields>
    <field x="9"/>
    <field x="8"/>
    <field x="2"/>
    <field x="3"/>
  </rowFields>
  <pageFields>
    <pageField fld="0"/>
  </pageFields>
  <dataFields>
    <dataField name="SUM of Amount (39050.57)" fld="4" baseField="0"/>
  </dataFields>
</pivotTableDefinition>
</file>

<file path=xl/pivotTables/pivotTable2.xml><?xml version="1.0" encoding="utf-8"?>
<pivotTableDefinition xmlns="http://schemas.openxmlformats.org/spreadsheetml/2006/main" name="Pivots 2" cacheId="0" dataCaption="" compact="0" compactData="0">
  <location ref="H3:AM22" firstHeaderRow="0" firstDataRow="2" firstDataCol="2" rowPageCount="1" colPageCount="1"/>
  <pivotFields>
    <pivotField name="Index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t="default"/>
      </items>
    </pivotField>
    <pivotField name="Category" axis="axisCol" compact="0" outline="0" multipleItemSelectionAllowed="1" showAll="0" sortType="ascending">
      <items>
        <item sd="0" x="0"/>
        <item x="17"/>
        <item sd="0" x="4"/>
        <item sd="0" x="5"/>
        <item sd="0" x="9"/>
        <item sd="0" x="2"/>
        <item sd="0" x="14"/>
        <item x="18"/>
        <item x="1"/>
        <item sd="0" x="10"/>
        <item x="16"/>
        <item sd="0" x="13"/>
        <item sd="0" x="3"/>
        <item sd="0" x="12"/>
        <item sd="0" x="6"/>
        <item sd="0" x="11"/>
        <item sd="0" x="8"/>
        <item sd="0" x="7"/>
        <item x="15"/>
        <item t="default"/>
      </items>
    </pivotField>
    <pivotField name="Sub Category" axis="axisCol" compact="0" outline="0" multipleItemSelectionAllowed="1" showAll="0" sortType="ascending">
      <items>
        <item x="0"/>
        <item x="3"/>
        <item x="8"/>
        <item x="2"/>
        <item x="9"/>
        <item x="1"/>
        <item x="6"/>
        <item x="7"/>
        <item x="4"/>
        <item x="5"/>
        <item t="default"/>
      </items>
    </pivotField>
    <pivotField name="Amount (39050.57)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Balance (62226.34)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t="default"/>
      </items>
    </pivotField>
    <pivotField name="No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t="default"/>
      </items>
    </pivotField>
    <pivotField name="Group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name="Month" axis="axisRow" compact="0" outline="0" multipleItemSelectionAllowed="1" showAll="0" sortType="ascending">
      <items>
        <item x="5"/>
        <item x="6"/>
        <item x="7"/>
        <item x="8"/>
        <item x="9"/>
        <item x="10"/>
        <item x="11"/>
        <item x="0"/>
        <item x="1"/>
        <item x="2"/>
        <item x="3"/>
        <item x="4"/>
        <item x="12"/>
        <item t="default"/>
      </items>
    </pivotField>
    <pivotField name="Year" axis="axisRow" compact="0" outline="0" multipleItemSelectionAllowed="1" showAll="0" sortType="ascending">
      <items>
        <item x="0"/>
        <item x="1"/>
        <item sd="0" x="2"/>
        <item t="default"/>
      </items>
    </pivotField>
  </pivotFields>
  <rowFields>
    <field x="9"/>
    <field x="8"/>
  </rowFields>
  <colFields>
    <field x="2"/>
    <field x="3"/>
  </colFields>
  <pageFields>
    <pageField fld="0"/>
  </pageFields>
  <dataFields>
    <dataField name="SUM of Amount (39050.57)" fld="4" baseField="0"/>
  </dataFields>
</pivotTableDefinition>
</file>

<file path=xl/tables/table1.xml><?xml version="1.0" encoding="utf-8"?>
<table xmlns="http://schemas.openxmlformats.org/spreadsheetml/2006/main" ref="V1:V1000" displayName="Table_1" name="Table_1" id="1">
  <tableColumns count="1">
    <tableColumn name="Starter" id="1"/>
  </tableColumns>
  <tableStyleInfo name="Chart Table-style" showColumnStripes="0" showFirstColumn="1" showLastColumn="1" showRowStripes="1"/>
</table>
</file>

<file path=xl/tables/table2.xml><?xml version="1.0" encoding="utf-8"?>
<table xmlns="http://schemas.openxmlformats.org/spreadsheetml/2006/main" ref="W1:W1000" displayName="Table_2" name="Table_2" id="2">
  <tableColumns count="1">
    <tableColumn name="Total Debit" id="1"/>
  </tableColumns>
  <tableStyleInfo name="Chart Table-style 2" showColumnStripes="0" showFirstColumn="1" showLastColumn="1" showRowStripes="1"/>
</table>
</file>

<file path=xl/tables/table3.xml><?xml version="1.0" encoding="utf-8"?>
<table xmlns="http://schemas.openxmlformats.org/spreadsheetml/2006/main" ref="X1:X1000" displayName="Table_3" name="Table_3" id="3">
  <tableColumns count="1">
    <tableColumn name="Total Credit" id="1"/>
  </tableColumns>
  <tableStyleInfo name="Chart Table-style 3" showColumnStripes="0" showFirstColumn="1" showLastColumn="1" showRowStripes="1"/>
</table>
</file>

<file path=xl/tables/table4.xml><?xml version="1.0" encoding="utf-8"?>
<table xmlns="http://schemas.openxmlformats.org/spreadsheetml/2006/main" ref="Y1:Y1000" displayName="Table_4" name="Table_4" id="4">
  <tableColumns count="1">
    <tableColumn name="Desert" id="1"/>
  </tableColumns>
  <tableStyleInfo name="Chart Table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20.25"/>
    <col customWidth="1" min="4" max="4" width="28.5"/>
    <col customWidth="1" min="5" max="5" width="19.75"/>
    <col customWidth="1" min="6" max="6" width="15.75"/>
    <col customWidth="1" min="7" max="11" width="2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tr">
        <f>CONCATENATE("Amount (", -SUM(E2:E1032) ,")") </f>
        <v>Amount (39050.57)</v>
      </c>
      <c r="F1" s="1" t="str">
        <f>CONCATENATE("Balance (", F2+SUM(E2:E1032) ,")") </f>
        <v>Balance (62226.34)</v>
      </c>
      <c r="G1" s="1" t="s">
        <v>4</v>
      </c>
      <c r="H1" s="1" t="s">
        <v>5</v>
      </c>
      <c r="I1" s="1" t="s">
        <v>6</v>
      </c>
      <c r="J1" s="1" t="s">
        <v>7</v>
      </c>
      <c r="K1" s="2" t="s">
        <v>8</v>
      </c>
    </row>
    <row r="2">
      <c r="A2" s="2">
        <v>1.0</v>
      </c>
      <c r="B2" s="3">
        <v>45505.0</v>
      </c>
      <c r="C2" s="4"/>
      <c r="D2" s="5"/>
      <c r="E2" s="6">
        <v>0.0</v>
      </c>
      <c r="F2" s="7">
        <f>101276.91</f>
        <v>101276.91</v>
      </c>
      <c r="I2" s="8">
        <f t="shared" ref="I2:I354" si="1">IF(ISBLANK(A2), "", MONTH(B2))</f>
        <v>8</v>
      </c>
      <c r="J2" s="8">
        <f t="shared" ref="J2:J354" si="2">IF(ISBLANK(A2), "",  YEAR(B2))</f>
        <v>2024</v>
      </c>
      <c r="K2" s="8" t="str">
        <f t="shared" ref="K2:K1032" si="3">IF(ISBLANK(A2), "", CONCATENATE(J2," - ",I2))</f>
        <v>2024 - 8</v>
      </c>
    </row>
    <row r="3" outlineLevel="1">
      <c r="A3" s="2">
        <v>2.0</v>
      </c>
      <c r="B3" s="3">
        <v>45505.0</v>
      </c>
      <c r="C3" s="5" t="s">
        <v>9</v>
      </c>
      <c r="D3" s="5" t="s">
        <v>10</v>
      </c>
      <c r="E3" s="6">
        <f>-300</f>
        <v>-300</v>
      </c>
      <c r="F3" s="7">
        <f t="shared" ref="F3:F1032" si="4">IF(ISBLANK(A3),"", F2+E3)</f>
        <v>100976.91</v>
      </c>
      <c r="G3" s="5" t="s">
        <v>11</v>
      </c>
      <c r="H3" s="5"/>
      <c r="I3" s="8">
        <f t="shared" si="1"/>
        <v>8</v>
      </c>
      <c r="J3" s="8">
        <f t="shared" si="2"/>
        <v>2024</v>
      </c>
      <c r="K3" s="8" t="str">
        <f t="shared" si="3"/>
        <v>2024 - 8</v>
      </c>
    </row>
    <row r="4" outlineLevel="1">
      <c r="A4" s="2">
        <v>3.0</v>
      </c>
      <c r="B4" s="3">
        <v>45505.0</v>
      </c>
      <c r="C4" s="5" t="s">
        <v>12</v>
      </c>
      <c r="D4" s="5" t="s">
        <v>13</v>
      </c>
      <c r="E4" s="6">
        <f>-1500</f>
        <v>-1500</v>
      </c>
      <c r="F4" s="7">
        <f t="shared" si="4"/>
        <v>99476.91</v>
      </c>
      <c r="G4" s="5" t="s">
        <v>14</v>
      </c>
      <c r="H4" s="9" t="s">
        <v>15</v>
      </c>
      <c r="I4" s="8">
        <f t="shared" si="1"/>
        <v>8</v>
      </c>
      <c r="J4" s="8">
        <f t="shared" si="2"/>
        <v>2024</v>
      </c>
      <c r="K4" s="8" t="str">
        <f t="shared" si="3"/>
        <v>2024 - 8</v>
      </c>
    </row>
    <row r="5" outlineLevel="1">
      <c r="A5" s="2">
        <v>4.0</v>
      </c>
      <c r="B5" s="3">
        <v>45505.0</v>
      </c>
      <c r="C5" s="5" t="s">
        <v>16</v>
      </c>
      <c r="D5" s="5" t="s">
        <v>10</v>
      </c>
      <c r="E5" s="6">
        <f>-531</f>
        <v>-531</v>
      </c>
      <c r="F5" s="7">
        <f t="shared" si="4"/>
        <v>98945.91</v>
      </c>
      <c r="G5" s="5" t="s">
        <v>17</v>
      </c>
      <c r="H5" s="5"/>
      <c r="I5" s="8">
        <f t="shared" si="1"/>
        <v>8</v>
      </c>
      <c r="J5" s="8">
        <f t="shared" si="2"/>
        <v>2024</v>
      </c>
      <c r="K5" s="8" t="str">
        <f t="shared" si="3"/>
        <v>2024 - 8</v>
      </c>
    </row>
    <row r="6" outlineLevel="1">
      <c r="A6" s="2">
        <v>5.0</v>
      </c>
      <c r="B6" s="3">
        <v>45505.0</v>
      </c>
      <c r="C6" s="5" t="s">
        <v>16</v>
      </c>
      <c r="D6" s="5" t="s">
        <v>10</v>
      </c>
      <c r="E6" s="6">
        <f>-500</f>
        <v>-500</v>
      </c>
      <c r="F6" s="7">
        <f t="shared" si="4"/>
        <v>98445.91</v>
      </c>
      <c r="G6" s="5" t="s">
        <v>17</v>
      </c>
      <c r="H6" s="5"/>
      <c r="I6" s="8">
        <f t="shared" si="1"/>
        <v>8</v>
      </c>
      <c r="J6" s="8">
        <f t="shared" si="2"/>
        <v>2024</v>
      </c>
      <c r="K6" s="8" t="str">
        <f t="shared" si="3"/>
        <v>2024 - 8</v>
      </c>
    </row>
    <row r="7" outlineLevel="1">
      <c r="A7" s="2">
        <v>6.0</v>
      </c>
      <c r="B7" s="3">
        <v>45505.0</v>
      </c>
      <c r="C7" s="5" t="s">
        <v>18</v>
      </c>
      <c r="D7" s="5" t="s">
        <v>10</v>
      </c>
      <c r="E7" s="6">
        <f>-551</f>
        <v>-551</v>
      </c>
      <c r="F7" s="7">
        <f t="shared" si="4"/>
        <v>97894.91</v>
      </c>
      <c r="G7" s="5" t="s">
        <v>19</v>
      </c>
      <c r="H7" s="5"/>
      <c r="I7" s="8">
        <f t="shared" si="1"/>
        <v>8</v>
      </c>
      <c r="J7" s="8">
        <f t="shared" si="2"/>
        <v>2024</v>
      </c>
      <c r="K7" s="8" t="str">
        <f t="shared" si="3"/>
        <v>2024 - 8</v>
      </c>
    </row>
    <row r="8" outlineLevel="1">
      <c r="A8" s="2">
        <v>7.0</v>
      </c>
      <c r="B8" s="3">
        <v>45506.0</v>
      </c>
      <c r="C8" s="5" t="s">
        <v>9</v>
      </c>
      <c r="D8" s="5" t="s">
        <v>20</v>
      </c>
      <c r="E8" s="6">
        <f>-200</f>
        <v>-200</v>
      </c>
      <c r="F8" s="7">
        <f t="shared" si="4"/>
        <v>97694.91</v>
      </c>
      <c r="G8" s="5" t="s">
        <v>21</v>
      </c>
      <c r="H8" s="5"/>
      <c r="I8" s="8">
        <f t="shared" si="1"/>
        <v>8</v>
      </c>
      <c r="J8" s="8">
        <f t="shared" si="2"/>
        <v>2024</v>
      </c>
      <c r="K8" s="8" t="str">
        <f t="shared" si="3"/>
        <v>2024 - 8</v>
      </c>
    </row>
    <row r="9" outlineLevel="1">
      <c r="A9" s="2">
        <v>8.0</v>
      </c>
      <c r="B9" s="3">
        <v>45510.0</v>
      </c>
      <c r="C9" s="5" t="s">
        <v>22</v>
      </c>
      <c r="D9" s="5" t="s">
        <v>10</v>
      </c>
      <c r="E9" s="6">
        <v>-393.91</v>
      </c>
      <c r="F9" s="7">
        <f t="shared" si="4"/>
        <v>97301</v>
      </c>
      <c r="G9" s="5" t="s">
        <v>23</v>
      </c>
      <c r="H9" s="5"/>
      <c r="I9" s="8">
        <f t="shared" si="1"/>
        <v>8</v>
      </c>
      <c r="J9" s="8">
        <f t="shared" si="2"/>
        <v>2024</v>
      </c>
      <c r="K9" s="8" t="str">
        <f t="shared" si="3"/>
        <v>2024 - 8</v>
      </c>
    </row>
    <row r="10" outlineLevel="1">
      <c r="A10" s="2">
        <v>9.0</v>
      </c>
      <c r="B10" s="3">
        <v>45510.0</v>
      </c>
      <c r="C10" s="5" t="s">
        <v>24</v>
      </c>
      <c r="D10" s="5" t="s">
        <v>13</v>
      </c>
      <c r="E10" s="6">
        <v>8692.0</v>
      </c>
      <c r="F10" s="7">
        <f t="shared" si="4"/>
        <v>105993</v>
      </c>
      <c r="G10" s="5" t="s">
        <v>25</v>
      </c>
      <c r="H10" s="5"/>
      <c r="I10" s="8">
        <f t="shared" si="1"/>
        <v>8</v>
      </c>
      <c r="J10" s="8">
        <f t="shared" si="2"/>
        <v>2024</v>
      </c>
      <c r="K10" s="8" t="str">
        <f t="shared" si="3"/>
        <v>2024 - 8</v>
      </c>
    </row>
    <row r="11" outlineLevel="1">
      <c r="A11" s="2">
        <v>10.0</v>
      </c>
      <c r="B11" s="3">
        <v>45511.0</v>
      </c>
      <c r="C11" s="5" t="s">
        <v>18</v>
      </c>
      <c r="D11" s="5" t="s">
        <v>20</v>
      </c>
      <c r="E11" s="6">
        <v>-245.0</v>
      </c>
      <c r="F11" s="7">
        <f t="shared" si="4"/>
        <v>105748</v>
      </c>
      <c r="G11" s="5" t="s">
        <v>26</v>
      </c>
      <c r="H11" s="5"/>
      <c r="I11" s="8">
        <f t="shared" si="1"/>
        <v>8</v>
      </c>
      <c r="J11" s="8">
        <f t="shared" si="2"/>
        <v>2024</v>
      </c>
      <c r="K11" s="8" t="str">
        <f t="shared" si="3"/>
        <v>2024 - 8</v>
      </c>
    </row>
    <row r="12" outlineLevel="1">
      <c r="A12" s="2">
        <v>11.0</v>
      </c>
      <c r="B12" s="3">
        <v>45512.0</v>
      </c>
      <c r="C12" s="5" t="s">
        <v>16</v>
      </c>
      <c r="D12" s="5" t="s">
        <v>20</v>
      </c>
      <c r="E12" s="6">
        <v>-4999.0</v>
      </c>
      <c r="F12" s="7">
        <f t="shared" si="4"/>
        <v>100749</v>
      </c>
      <c r="G12" s="5" t="s">
        <v>27</v>
      </c>
      <c r="H12" s="5"/>
      <c r="I12" s="8">
        <f t="shared" si="1"/>
        <v>8</v>
      </c>
      <c r="J12" s="8">
        <f t="shared" si="2"/>
        <v>2024</v>
      </c>
      <c r="K12" s="8" t="str">
        <f t="shared" si="3"/>
        <v>2024 - 8</v>
      </c>
    </row>
    <row r="13" outlineLevel="1">
      <c r="A13" s="2">
        <v>12.0</v>
      </c>
      <c r="B13" s="3">
        <v>45512.0</v>
      </c>
      <c r="C13" s="5" t="s">
        <v>16</v>
      </c>
      <c r="D13" s="5" t="s">
        <v>20</v>
      </c>
      <c r="E13" s="6">
        <v>-5998.0</v>
      </c>
      <c r="F13" s="7">
        <f t="shared" si="4"/>
        <v>94751</v>
      </c>
      <c r="G13" s="5" t="s">
        <v>27</v>
      </c>
      <c r="H13" s="5"/>
      <c r="I13" s="8">
        <f t="shared" si="1"/>
        <v>8</v>
      </c>
      <c r="J13" s="8">
        <f t="shared" si="2"/>
        <v>2024</v>
      </c>
      <c r="K13" s="8" t="str">
        <f t="shared" si="3"/>
        <v>2024 - 8</v>
      </c>
    </row>
    <row r="14" outlineLevel="1">
      <c r="A14" s="2">
        <v>13.0</v>
      </c>
      <c r="B14" s="3">
        <v>45513.0</v>
      </c>
      <c r="C14" s="5" t="s">
        <v>16</v>
      </c>
      <c r="D14" s="5" t="s">
        <v>10</v>
      </c>
      <c r="E14" s="6">
        <v>-2490.0</v>
      </c>
      <c r="F14" s="7">
        <f t="shared" si="4"/>
        <v>92261</v>
      </c>
      <c r="G14" s="5" t="s">
        <v>28</v>
      </c>
      <c r="H14" s="5"/>
      <c r="I14" s="8">
        <f t="shared" si="1"/>
        <v>8</v>
      </c>
      <c r="J14" s="8">
        <f t="shared" si="2"/>
        <v>2024</v>
      </c>
      <c r="K14" s="8" t="str">
        <f t="shared" si="3"/>
        <v>2024 - 8</v>
      </c>
    </row>
    <row r="15" outlineLevel="1">
      <c r="A15" s="2">
        <v>14.0</v>
      </c>
      <c r="B15" s="3">
        <v>45513.0</v>
      </c>
      <c r="C15" s="5" t="s">
        <v>16</v>
      </c>
      <c r="D15" s="5" t="s">
        <v>13</v>
      </c>
      <c r="E15" s="6">
        <v>-1416.0</v>
      </c>
      <c r="F15" s="7">
        <f t="shared" si="4"/>
        <v>90845</v>
      </c>
      <c r="G15" s="5" t="s">
        <v>29</v>
      </c>
      <c r="H15" s="5"/>
      <c r="I15" s="8">
        <f t="shared" si="1"/>
        <v>8</v>
      </c>
      <c r="J15" s="8">
        <f t="shared" si="2"/>
        <v>2024</v>
      </c>
      <c r="K15" s="8" t="str">
        <f t="shared" si="3"/>
        <v>2024 - 8</v>
      </c>
    </row>
    <row r="16" outlineLevel="1">
      <c r="A16" s="2">
        <v>15.0</v>
      </c>
      <c r="B16" s="3">
        <v>45514.0</v>
      </c>
      <c r="C16" s="10" t="s">
        <v>24</v>
      </c>
      <c r="D16" s="5" t="s">
        <v>13</v>
      </c>
      <c r="E16" s="6">
        <v>300.0</v>
      </c>
      <c r="F16" s="7">
        <f t="shared" si="4"/>
        <v>91145</v>
      </c>
      <c r="G16" s="5" t="s">
        <v>30</v>
      </c>
      <c r="H16" s="5"/>
      <c r="I16" s="8">
        <f t="shared" si="1"/>
        <v>8</v>
      </c>
      <c r="J16" s="8">
        <f t="shared" si="2"/>
        <v>2024</v>
      </c>
      <c r="K16" s="8" t="str">
        <f t="shared" si="3"/>
        <v>2024 - 8</v>
      </c>
    </row>
    <row r="17" outlineLevel="1">
      <c r="A17" s="2">
        <v>16.0</v>
      </c>
      <c r="B17" s="3">
        <v>45514.0</v>
      </c>
      <c r="C17" s="5" t="s">
        <v>31</v>
      </c>
      <c r="D17" s="5" t="s">
        <v>10</v>
      </c>
      <c r="E17" s="6">
        <v>-131.0</v>
      </c>
      <c r="F17" s="7">
        <f t="shared" si="4"/>
        <v>91014</v>
      </c>
      <c r="G17" s="5" t="s">
        <v>32</v>
      </c>
      <c r="H17" s="5"/>
      <c r="I17" s="8">
        <f t="shared" si="1"/>
        <v>8</v>
      </c>
      <c r="J17" s="8">
        <f t="shared" si="2"/>
        <v>2024</v>
      </c>
      <c r="K17" s="8" t="str">
        <f t="shared" si="3"/>
        <v>2024 - 8</v>
      </c>
    </row>
    <row r="18" outlineLevel="1">
      <c r="A18" s="2">
        <v>17.0</v>
      </c>
      <c r="B18" s="3">
        <v>45514.0</v>
      </c>
      <c r="C18" s="5" t="s">
        <v>16</v>
      </c>
      <c r="D18" s="5" t="s">
        <v>13</v>
      </c>
      <c r="E18" s="6">
        <v>-3117.0</v>
      </c>
      <c r="F18" s="7">
        <f t="shared" si="4"/>
        <v>87897</v>
      </c>
      <c r="G18" s="5" t="s">
        <v>33</v>
      </c>
      <c r="H18" s="5"/>
      <c r="I18" s="8">
        <f t="shared" si="1"/>
        <v>8</v>
      </c>
      <c r="J18" s="8">
        <f t="shared" si="2"/>
        <v>2024</v>
      </c>
      <c r="K18" s="8" t="str">
        <f t="shared" si="3"/>
        <v>2024 - 8</v>
      </c>
    </row>
    <row r="19" outlineLevel="1">
      <c r="A19" s="2">
        <v>18.0</v>
      </c>
      <c r="B19" s="3">
        <v>45514.0</v>
      </c>
      <c r="C19" s="5" t="s">
        <v>31</v>
      </c>
      <c r="D19" s="5" t="s">
        <v>10</v>
      </c>
      <c r="E19" s="6">
        <v>-190.0</v>
      </c>
      <c r="F19" s="7">
        <f t="shared" si="4"/>
        <v>87707</v>
      </c>
      <c r="G19" s="5" t="s">
        <v>32</v>
      </c>
      <c r="H19" s="5"/>
      <c r="I19" s="8">
        <f t="shared" si="1"/>
        <v>8</v>
      </c>
      <c r="J19" s="8">
        <f t="shared" si="2"/>
        <v>2024</v>
      </c>
      <c r="K19" s="8" t="str">
        <f t="shared" si="3"/>
        <v>2024 - 8</v>
      </c>
    </row>
    <row r="20" outlineLevel="1">
      <c r="A20" s="2">
        <v>19.0</v>
      </c>
      <c r="B20" s="3">
        <v>45514.0</v>
      </c>
      <c r="C20" s="5" t="s">
        <v>18</v>
      </c>
      <c r="D20" s="5" t="s">
        <v>10</v>
      </c>
      <c r="E20" s="6">
        <v>-98.0</v>
      </c>
      <c r="F20" s="7">
        <f t="shared" si="4"/>
        <v>87609</v>
      </c>
      <c r="G20" s="5" t="s">
        <v>34</v>
      </c>
      <c r="H20" s="5"/>
      <c r="I20" s="8">
        <f t="shared" si="1"/>
        <v>8</v>
      </c>
      <c r="J20" s="8">
        <f t="shared" si="2"/>
        <v>2024</v>
      </c>
      <c r="K20" s="8" t="str">
        <f t="shared" si="3"/>
        <v>2024 - 8</v>
      </c>
    </row>
    <row r="21" outlineLevel="1">
      <c r="A21" s="2">
        <v>20.0</v>
      </c>
      <c r="B21" s="3">
        <v>45514.0</v>
      </c>
      <c r="C21" s="5" t="s">
        <v>35</v>
      </c>
      <c r="D21" s="5" t="s">
        <v>20</v>
      </c>
      <c r="E21" s="6">
        <v>-30000.0</v>
      </c>
      <c r="F21" s="7">
        <f t="shared" si="4"/>
        <v>57609</v>
      </c>
      <c r="G21" s="5" t="s">
        <v>36</v>
      </c>
      <c r="H21" s="5"/>
      <c r="I21" s="8">
        <f t="shared" si="1"/>
        <v>8</v>
      </c>
      <c r="J21" s="8">
        <f t="shared" si="2"/>
        <v>2024</v>
      </c>
      <c r="K21" s="8" t="str">
        <f t="shared" si="3"/>
        <v>2024 - 8</v>
      </c>
    </row>
    <row r="22" outlineLevel="1">
      <c r="A22" s="2">
        <v>21.0</v>
      </c>
      <c r="B22" s="3">
        <v>45514.0</v>
      </c>
      <c r="C22" s="5" t="s">
        <v>31</v>
      </c>
      <c r="D22" s="5" t="s">
        <v>10</v>
      </c>
      <c r="E22" s="6">
        <v>-200.0</v>
      </c>
      <c r="F22" s="7">
        <f t="shared" si="4"/>
        <v>57409</v>
      </c>
      <c r="G22" s="5" t="s">
        <v>32</v>
      </c>
      <c r="H22" s="5"/>
      <c r="I22" s="8">
        <f t="shared" si="1"/>
        <v>8</v>
      </c>
      <c r="J22" s="8">
        <f t="shared" si="2"/>
        <v>2024</v>
      </c>
      <c r="K22" s="8" t="str">
        <f t="shared" si="3"/>
        <v>2024 - 8</v>
      </c>
    </row>
    <row r="23" outlineLevel="1">
      <c r="A23" s="2">
        <v>22.0</v>
      </c>
      <c r="B23" s="3">
        <v>45515.0</v>
      </c>
      <c r="C23" s="5" t="s">
        <v>31</v>
      </c>
      <c r="D23" s="5" t="s">
        <v>10</v>
      </c>
      <c r="E23" s="6">
        <v>-125.0</v>
      </c>
      <c r="F23" s="7">
        <f t="shared" si="4"/>
        <v>57284</v>
      </c>
      <c r="G23" s="5" t="s">
        <v>32</v>
      </c>
      <c r="H23" s="5"/>
      <c r="I23" s="8">
        <f t="shared" si="1"/>
        <v>8</v>
      </c>
      <c r="J23" s="8">
        <f t="shared" si="2"/>
        <v>2024</v>
      </c>
      <c r="K23" s="8" t="str">
        <f t="shared" si="3"/>
        <v>2024 - 8</v>
      </c>
    </row>
    <row r="24" outlineLevel="1">
      <c r="A24" s="2">
        <v>23.0</v>
      </c>
      <c r="B24" s="3">
        <v>45515.0</v>
      </c>
      <c r="C24" s="5" t="s">
        <v>31</v>
      </c>
      <c r="D24" s="5" t="s">
        <v>10</v>
      </c>
      <c r="E24" s="6">
        <v>-60.0</v>
      </c>
      <c r="F24" s="7">
        <f t="shared" si="4"/>
        <v>57224</v>
      </c>
      <c r="G24" s="5" t="s">
        <v>32</v>
      </c>
      <c r="H24" s="5"/>
      <c r="I24" s="8">
        <f t="shared" si="1"/>
        <v>8</v>
      </c>
      <c r="J24" s="8">
        <f t="shared" si="2"/>
        <v>2024</v>
      </c>
      <c r="K24" s="8" t="str">
        <f t="shared" si="3"/>
        <v>2024 - 8</v>
      </c>
    </row>
    <row r="25" outlineLevel="1">
      <c r="A25" s="2">
        <v>24.0</v>
      </c>
      <c r="B25" s="3">
        <v>45515.0</v>
      </c>
      <c r="C25" s="5" t="s">
        <v>31</v>
      </c>
      <c r="D25" s="5" t="s">
        <v>10</v>
      </c>
      <c r="E25" s="6">
        <v>-348.0</v>
      </c>
      <c r="F25" s="7">
        <f t="shared" si="4"/>
        <v>56876</v>
      </c>
      <c r="G25" s="5" t="s">
        <v>32</v>
      </c>
      <c r="H25" s="5"/>
      <c r="I25" s="8">
        <f t="shared" si="1"/>
        <v>8</v>
      </c>
      <c r="J25" s="8">
        <f t="shared" si="2"/>
        <v>2024</v>
      </c>
      <c r="K25" s="8" t="str">
        <f t="shared" si="3"/>
        <v>2024 - 8</v>
      </c>
    </row>
    <row r="26" outlineLevel="1">
      <c r="A26" s="2">
        <v>25.0</v>
      </c>
      <c r="B26" s="3">
        <v>45515.0</v>
      </c>
      <c r="C26" s="5" t="s">
        <v>16</v>
      </c>
      <c r="D26" s="5" t="s">
        <v>20</v>
      </c>
      <c r="E26" s="6">
        <v>-3422.0</v>
      </c>
      <c r="F26" s="7">
        <f t="shared" si="4"/>
        <v>53454</v>
      </c>
      <c r="G26" s="5" t="s">
        <v>37</v>
      </c>
      <c r="H26" s="5"/>
      <c r="I26" s="8">
        <f t="shared" si="1"/>
        <v>8</v>
      </c>
      <c r="J26" s="8">
        <f t="shared" si="2"/>
        <v>2024</v>
      </c>
      <c r="K26" s="8" t="str">
        <f t="shared" si="3"/>
        <v>2024 - 8</v>
      </c>
    </row>
    <row r="27" outlineLevel="1">
      <c r="A27" s="2">
        <v>26.0</v>
      </c>
      <c r="B27" s="3">
        <v>45515.0</v>
      </c>
      <c r="C27" s="5" t="s">
        <v>38</v>
      </c>
      <c r="D27" s="5" t="s">
        <v>39</v>
      </c>
      <c r="E27" s="6">
        <v>-7996.0</v>
      </c>
      <c r="F27" s="7">
        <f t="shared" si="4"/>
        <v>45458</v>
      </c>
      <c r="G27" s="5" t="s">
        <v>40</v>
      </c>
      <c r="H27" s="9" t="s">
        <v>41</v>
      </c>
      <c r="I27" s="8">
        <f t="shared" si="1"/>
        <v>8</v>
      </c>
      <c r="J27" s="8">
        <f t="shared" si="2"/>
        <v>2024</v>
      </c>
      <c r="K27" s="8" t="str">
        <f t="shared" si="3"/>
        <v>2024 - 8</v>
      </c>
    </row>
    <row r="28" outlineLevel="1">
      <c r="A28" s="2">
        <v>27.0</v>
      </c>
      <c r="B28" s="3">
        <v>45515.0</v>
      </c>
      <c r="C28" s="5" t="s">
        <v>31</v>
      </c>
      <c r="D28" s="5" t="s">
        <v>10</v>
      </c>
      <c r="E28" s="6">
        <v>-456.0</v>
      </c>
      <c r="F28" s="7">
        <f t="shared" si="4"/>
        <v>45002</v>
      </c>
      <c r="G28" s="5" t="s">
        <v>32</v>
      </c>
      <c r="H28" s="5"/>
      <c r="I28" s="8">
        <f t="shared" si="1"/>
        <v>8</v>
      </c>
      <c r="J28" s="8">
        <f t="shared" si="2"/>
        <v>2024</v>
      </c>
      <c r="K28" s="8" t="str">
        <f t="shared" si="3"/>
        <v>2024 - 8</v>
      </c>
    </row>
    <row r="29" outlineLevel="1">
      <c r="A29" s="2">
        <v>28.0</v>
      </c>
      <c r="B29" s="3">
        <v>45516.0</v>
      </c>
      <c r="C29" s="5" t="s">
        <v>16</v>
      </c>
      <c r="D29" s="5" t="s">
        <v>10</v>
      </c>
      <c r="E29" s="6">
        <v>-1449.0</v>
      </c>
      <c r="F29" s="7">
        <f t="shared" si="4"/>
        <v>43553</v>
      </c>
      <c r="G29" s="5" t="s">
        <v>42</v>
      </c>
      <c r="H29" s="5"/>
      <c r="I29" s="8">
        <f t="shared" si="1"/>
        <v>8</v>
      </c>
      <c r="J29" s="8">
        <f t="shared" si="2"/>
        <v>2024</v>
      </c>
      <c r="K29" s="8" t="str">
        <f t="shared" si="3"/>
        <v>2024 - 8</v>
      </c>
    </row>
    <row r="30" outlineLevel="1">
      <c r="A30" s="2">
        <v>29.0</v>
      </c>
      <c r="B30" s="3">
        <v>45516.0</v>
      </c>
      <c r="C30" s="5" t="s">
        <v>35</v>
      </c>
      <c r="D30" s="5" t="s">
        <v>20</v>
      </c>
      <c r="E30" s="6">
        <v>-15000.0</v>
      </c>
      <c r="F30" s="7">
        <f t="shared" si="4"/>
        <v>28553</v>
      </c>
      <c r="G30" s="5" t="s">
        <v>43</v>
      </c>
      <c r="H30" s="5"/>
      <c r="I30" s="8">
        <f t="shared" si="1"/>
        <v>8</v>
      </c>
      <c r="J30" s="8">
        <f t="shared" si="2"/>
        <v>2024</v>
      </c>
      <c r="K30" s="8" t="str">
        <f t="shared" si="3"/>
        <v>2024 - 8</v>
      </c>
    </row>
    <row r="31" outlineLevel="1">
      <c r="A31" s="2">
        <v>30.0</v>
      </c>
      <c r="B31" s="3">
        <v>45518.0</v>
      </c>
      <c r="C31" s="5" t="s">
        <v>31</v>
      </c>
      <c r="D31" s="5" t="s">
        <v>10</v>
      </c>
      <c r="E31" s="6">
        <v>-192.0</v>
      </c>
      <c r="F31" s="7">
        <f t="shared" si="4"/>
        <v>28361</v>
      </c>
      <c r="G31" s="5" t="s">
        <v>32</v>
      </c>
      <c r="H31" s="5"/>
      <c r="I31" s="8">
        <f t="shared" si="1"/>
        <v>8</v>
      </c>
      <c r="J31" s="8">
        <f t="shared" si="2"/>
        <v>2024</v>
      </c>
      <c r="K31" s="8" t="str">
        <f t="shared" si="3"/>
        <v>2024 - 8</v>
      </c>
    </row>
    <row r="32" outlineLevel="1">
      <c r="A32" s="2">
        <v>31.0</v>
      </c>
      <c r="B32" s="3">
        <v>45518.0</v>
      </c>
      <c r="C32" s="5" t="s">
        <v>31</v>
      </c>
      <c r="D32" s="5" t="s">
        <v>10</v>
      </c>
      <c r="E32" s="6">
        <v>-42.75</v>
      </c>
      <c r="F32" s="7">
        <f t="shared" si="4"/>
        <v>28318.25</v>
      </c>
      <c r="G32" s="5" t="s">
        <v>44</v>
      </c>
      <c r="H32" s="5"/>
      <c r="I32" s="8">
        <f t="shared" si="1"/>
        <v>8</v>
      </c>
      <c r="J32" s="8">
        <f t="shared" si="2"/>
        <v>2024</v>
      </c>
      <c r="K32" s="8" t="str">
        <f t="shared" si="3"/>
        <v>2024 - 8</v>
      </c>
    </row>
    <row r="33" outlineLevel="1">
      <c r="A33" s="2">
        <v>32.0</v>
      </c>
      <c r="B33" s="3">
        <v>45518.0</v>
      </c>
      <c r="C33" s="5" t="s">
        <v>31</v>
      </c>
      <c r="D33" s="5" t="s">
        <v>10</v>
      </c>
      <c r="E33" s="6">
        <v>-128.0</v>
      </c>
      <c r="F33" s="7">
        <f t="shared" si="4"/>
        <v>28190.25</v>
      </c>
      <c r="G33" s="5" t="s">
        <v>32</v>
      </c>
      <c r="H33" s="5"/>
      <c r="I33" s="8">
        <f t="shared" si="1"/>
        <v>8</v>
      </c>
      <c r="J33" s="8">
        <f t="shared" si="2"/>
        <v>2024</v>
      </c>
      <c r="K33" s="8" t="str">
        <f t="shared" si="3"/>
        <v>2024 - 8</v>
      </c>
    </row>
    <row r="34" outlineLevel="1">
      <c r="A34" s="2">
        <v>33.0</v>
      </c>
      <c r="B34" s="3">
        <v>45518.0</v>
      </c>
      <c r="C34" s="5" t="s">
        <v>31</v>
      </c>
      <c r="D34" s="5" t="s">
        <v>10</v>
      </c>
      <c r="E34" s="6">
        <v>-17.1</v>
      </c>
      <c r="F34" s="7">
        <f t="shared" si="4"/>
        <v>28173.15</v>
      </c>
      <c r="G34" s="5" t="s">
        <v>44</v>
      </c>
      <c r="H34" s="5"/>
      <c r="I34" s="8">
        <f t="shared" si="1"/>
        <v>8</v>
      </c>
      <c r="J34" s="8">
        <f t="shared" si="2"/>
        <v>2024</v>
      </c>
      <c r="K34" s="8" t="str">
        <f t="shared" si="3"/>
        <v>2024 - 8</v>
      </c>
    </row>
    <row r="35" outlineLevel="1">
      <c r="A35" s="2">
        <v>34.0</v>
      </c>
      <c r="B35" s="3">
        <v>45518.0</v>
      </c>
      <c r="C35" s="5" t="s">
        <v>31</v>
      </c>
      <c r="D35" s="5" t="s">
        <v>10</v>
      </c>
      <c r="E35" s="6">
        <v>-160.0</v>
      </c>
      <c r="F35" s="7">
        <f t="shared" si="4"/>
        <v>28013.15</v>
      </c>
      <c r="G35" s="5" t="s">
        <v>32</v>
      </c>
      <c r="H35" s="5"/>
      <c r="I35" s="8">
        <f t="shared" si="1"/>
        <v>8</v>
      </c>
      <c r="J35" s="8">
        <f t="shared" si="2"/>
        <v>2024</v>
      </c>
      <c r="K35" s="8" t="str">
        <f t="shared" si="3"/>
        <v>2024 - 8</v>
      </c>
    </row>
    <row r="36" outlineLevel="1">
      <c r="A36" s="2">
        <v>35.0</v>
      </c>
      <c r="B36" s="3">
        <v>45518.0</v>
      </c>
      <c r="C36" s="5" t="s">
        <v>18</v>
      </c>
      <c r="D36" s="5" t="s">
        <v>39</v>
      </c>
      <c r="E36" s="6">
        <v>-995.0</v>
      </c>
      <c r="F36" s="7">
        <f t="shared" si="4"/>
        <v>27018.15</v>
      </c>
      <c r="G36" s="5" t="s">
        <v>45</v>
      </c>
      <c r="H36" s="9" t="s">
        <v>46</v>
      </c>
      <c r="I36" s="8">
        <f t="shared" si="1"/>
        <v>8</v>
      </c>
      <c r="J36" s="8">
        <f t="shared" si="2"/>
        <v>2024</v>
      </c>
      <c r="K36" s="8" t="str">
        <f t="shared" si="3"/>
        <v>2024 - 8</v>
      </c>
    </row>
    <row r="37" outlineLevel="1">
      <c r="A37" s="2">
        <v>36.0</v>
      </c>
      <c r="B37" s="3">
        <v>45518.0</v>
      </c>
      <c r="C37" s="5" t="s">
        <v>18</v>
      </c>
      <c r="D37" s="5" t="s">
        <v>13</v>
      </c>
      <c r="E37" s="6">
        <v>-93.0</v>
      </c>
      <c r="F37" s="7">
        <f t="shared" si="4"/>
        <v>26925.15</v>
      </c>
      <c r="G37" s="5" t="s">
        <v>47</v>
      </c>
      <c r="H37" s="9" t="s">
        <v>46</v>
      </c>
      <c r="I37" s="8">
        <f t="shared" si="1"/>
        <v>8</v>
      </c>
      <c r="J37" s="8">
        <f t="shared" si="2"/>
        <v>2024</v>
      </c>
      <c r="K37" s="8" t="str">
        <f t="shared" si="3"/>
        <v>2024 - 8</v>
      </c>
    </row>
    <row r="38" outlineLevel="1">
      <c r="A38" s="2">
        <v>37.0</v>
      </c>
      <c r="B38" s="3">
        <v>45518.0</v>
      </c>
      <c r="C38" s="5" t="s">
        <v>31</v>
      </c>
      <c r="D38" s="5" t="s">
        <v>10</v>
      </c>
      <c r="E38" s="6">
        <v>-47.5</v>
      </c>
      <c r="F38" s="7">
        <f t="shared" si="4"/>
        <v>26877.65</v>
      </c>
      <c r="G38" s="5" t="s">
        <v>44</v>
      </c>
      <c r="I38" s="8">
        <f t="shared" si="1"/>
        <v>8</v>
      </c>
      <c r="J38" s="8">
        <f t="shared" si="2"/>
        <v>2024</v>
      </c>
      <c r="K38" s="8" t="str">
        <f t="shared" si="3"/>
        <v>2024 - 8</v>
      </c>
    </row>
    <row r="39" outlineLevel="1">
      <c r="A39" s="2">
        <v>38.0</v>
      </c>
      <c r="B39" s="3">
        <v>45518.0</v>
      </c>
      <c r="C39" s="5" t="s">
        <v>31</v>
      </c>
      <c r="D39" s="5" t="s">
        <v>10</v>
      </c>
      <c r="E39" s="6">
        <v>-79.8</v>
      </c>
      <c r="F39" s="7">
        <f t="shared" si="4"/>
        <v>26797.85</v>
      </c>
      <c r="G39" s="5" t="s">
        <v>44</v>
      </c>
      <c r="H39" s="9" t="s">
        <v>46</v>
      </c>
      <c r="I39" s="8">
        <f t="shared" si="1"/>
        <v>8</v>
      </c>
      <c r="J39" s="8">
        <f t="shared" si="2"/>
        <v>2024</v>
      </c>
      <c r="K39" s="8" t="str">
        <f t="shared" si="3"/>
        <v>2024 - 8</v>
      </c>
    </row>
    <row r="40" outlineLevel="1">
      <c r="A40" s="2">
        <v>39.0</v>
      </c>
      <c r="B40" s="3">
        <v>45518.0</v>
      </c>
      <c r="C40" s="5" t="s">
        <v>31</v>
      </c>
      <c r="D40" s="5" t="s">
        <v>10</v>
      </c>
      <c r="E40" s="6">
        <v>-122.0</v>
      </c>
      <c r="F40" s="7">
        <f t="shared" si="4"/>
        <v>26675.85</v>
      </c>
      <c r="G40" s="5" t="s">
        <v>32</v>
      </c>
      <c r="H40" s="9" t="s">
        <v>46</v>
      </c>
      <c r="I40" s="8">
        <f t="shared" si="1"/>
        <v>8</v>
      </c>
      <c r="J40" s="8">
        <f t="shared" si="2"/>
        <v>2024</v>
      </c>
      <c r="K40" s="8" t="str">
        <f t="shared" si="3"/>
        <v>2024 - 8</v>
      </c>
    </row>
    <row r="41" outlineLevel="1">
      <c r="A41" s="2">
        <v>40.0</v>
      </c>
      <c r="B41" s="3">
        <v>45518.0</v>
      </c>
      <c r="C41" s="5" t="s">
        <v>16</v>
      </c>
      <c r="D41" s="5" t="s">
        <v>10</v>
      </c>
      <c r="E41" s="6">
        <v>-445.0</v>
      </c>
      <c r="F41" s="7">
        <f t="shared" si="4"/>
        <v>26230.85</v>
      </c>
      <c r="G41" s="5" t="s">
        <v>48</v>
      </c>
      <c r="H41" s="9" t="s">
        <v>41</v>
      </c>
      <c r="I41" s="8">
        <f t="shared" si="1"/>
        <v>8</v>
      </c>
      <c r="J41" s="8">
        <f t="shared" si="2"/>
        <v>2024</v>
      </c>
      <c r="K41" s="8" t="str">
        <f t="shared" si="3"/>
        <v>2024 - 8</v>
      </c>
    </row>
    <row r="42" outlineLevel="1">
      <c r="A42" s="2">
        <v>41.0</v>
      </c>
      <c r="B42" s="3">
        <v>45518.0</v>
      </c>
      <c r="C42" s="5" t="s">
        <v>49</v>
      </c>
      <c r="D42" s="5" t="s">
        <v>10</v>
      </c>
      <c r="E42" s="6">
        <v>-649.0</v>
      </c>
      <c r="F42" s="7">
        <f t="shared" si="4"/>
        <v>25581.85</v>
      </c>
      <c r="G42" s="5" t="s">
        <v>50</v>
      </c>
      <c r="H42" s="9" t="s">
        <v>51</v>
      </c>
      <c r="I42" s="8">
        <f t="shared" si="1"/>
        <v>8</v>
      </c>
      <c r="J42" s="8">
        <f t="shared" si="2"/>
        <v>2024</v>
      </c>
      <c r="K42" s="8" t="str">
        <f t="shared" si="3"/>
        <v>2024 - 8</v>
      </c>
    </row>
    <row r="43" outlineLevel="1">
      <c r="A43" s="2">
        <v>42.0</v>
      </c>
      <c r="B43" s="3">
        <v>45520.0</v>
      </c>
      <c r="C43" s="5" t="s">
        <v>18</v>
      </c>
      <c r="D43" s="5" t="s">
        <v>39</v>
      </c>
      <c r="E43" s="6">
        <v>-6777.0</v>
      </c>
      <c r="F43" s="7">
        <f t="shared" si="4"/>
        <v>18804.85</v>
      </c>
      <c r="G43" s="5" t="s">
        <v>52</v>
      </c>
      <c r="H43" s="9" t="s">
        <v>53</v>
      </c>
      <c r="I43" s="8">
        <f t="shared" si="1"/>
        <v>8</v>
      </c>
      <c r="J43" s="8">
        <f t="shared" si="2"/>
        <v>2024</v>
      </c>
      <c r="K43" s="8" t="str">
        <f t="shared" si="3"/>
        <v>2024 - 8</v>
      </c>
    </row>
    <row r="44" outlineLevel="1">
      <c r="A44" s="2">
        <v>43.0</v>
      </c>
      <c r="B44" s="3">
        <v>45520.0</v>
      </c>
      <c r="C44" s="5" t="s">
        <v>9</v>
      </c>
      <c r="D44" s="5" t="s">
        <v>39</v>
      </c>
      <c r="E44" s="6">
        <v>-75.0</v>
      </c>
      <c r="F44" s="7">
        <f t="shared" si="4"/>
        <v>18729.85</v>
      </c>
      <c r="G44" s="5" t="s">
        <v>54</v>
      </c>
      <c r="H44" s="5"/>
      <c r="I44" s="8">
        <f t="shared" si="1"/>
        <v>8</v>
      </c>
      <c r="J44" s="8">
        <f t="shared" si="2"/>
        <v>2024</v>
      </c>
      <c r="K44" s="8" t="str">
        <f t="shared" si="3"/>
        <v>2024 - 8</v>
      </c>
    </row>
    <row r="45" outlineLevel="1">
      <c r="A45" s="2">
        <v>44.0</v>
      </c>
      <c r="B45" s="3">
        <v>45520.0</v>
      </c>
      <c r="C45" s="5" t="s">
        <v>9</v>
      </c>
      <c r="D45" s="5" t="s">
        <v>10</v>
      </c>
      <c r="E45" s="6">
        <v>-100.0</v>
      </c>
      <c r="F45" s="7">
        <f t="shared" si="4"/>
        <v>18629.85</v>
      </c>
      <c r="G45" s="5" t="s">
        <v>55</v>
      </c>
      <c r="H45" s="5"/>
      <c r="I45" s="8">
        <f t="shared" si="1"/>
        <v>8</v>
      </c>
      <c r="J45" s="8">
        <f t="shared" si="2"/>
        <v>2024</v>
      </c>
      <c r="K45" s="8" t="str">
        <f t="shared" si="3"/>
        <v>2024 - 8</v>
      </c>
    </row>
    <row r="46" outlineLevel="1">
      <c r="A46" s="2">
        <v>45.0</v>
      </c>
      <c r="B46" s="3">
        <v>45520.0</v>
      </c>
      <c r="C46" s="5" t="s">
        <v>16</v>
      </c>
      <c r="D46" s="5" t="s">
        <v>10</v>
      </c>
      <c r="E46" s="6">
        <v>-136.0</v>
      </c>
      <c r="F46" s="7">
        <f t="shared" si="4"/>
        <v>18493.85</v>
      </c>
      <c r="G46" s="5" t="s">
        <v>56</v>
      </c>
      <c r="H46" s="5"/>
      <c r="I46" s="8">
        <f t="shared" si="1"/>
        <v>8</v>
      </c>
      <c r="J46" s="8">
        <f t="shared" si="2"/>
        <v>2024</v>
      </c>
      <c r="K46" s="8" t="str">
        <f t="shared" si="3"/>
        <v>2024 - 8</v>
      </c>
    </row>
    <row r="47" outlineLevel="1">
      <c r="A47" s="2">
        <v>46.0</v>
      </c>
      <c r="B47" s="3">
        <v>45521.0</v>
      </c>
      <c r="C47" s="5" t="s">
        <v>18</v>
      </c>
      <c r="D47" s="5" t="s">
        <v>39</v>
      </c>
      <c r="E47" s="6">
        <v>-7823.0</v>
      </c>
      <c r="F47" s="7">
        <f t="shared" si="4"/>
        <v>10670.85</v>
      </c>
      <c r="G47" s="5" t="s">
        <v>57</v>
      </c>
      <c r="H47" s="11" t="s">
        <v>58</v>
      </c>
      <c r="I47" s="8">
        <f t="shared" si="1"/>
        <v>8</v>
      </c>
      <c r="J47" s="8">
        <f t="shared" si="2"/>
        <v>2024</v>
      </c>
      <c r="K47" s="8" t="str">
        <f t="shared" si="3"/>
        <v>2024 - 8</v>
      </c>
    </row>
    <row r="48" outlineLevel="1">
      <c r="A48" s="2">
        <v>47.0</v>
      </c>
      <c r="B48" s="3">
        <v>45521.0</v>
      </c>
      <c r="C48" s="5" t="s">
        <v>18</v>
      </c>
      <c r="D48" s="5" t="s">
        <v>13</v>
      </c>
      <c r="E48" s="6">
        <v>-1045.0</v>
      </c>
      <c r="F48" s="7">
        <f t="shared" si="4"/>
        <v>9625.85</v>
      </c>
      <c r="G48" s="5" t="s">
        <v>57</v>
      </c>
      <c r="H48" s="11" t="s">
        <v>58</v>
      </c>
      <c r="I48" s="8">
        <f t="shared" si="1"/>
        <v>8</v>
      </c>
      <c r="J48" s="8">
        <f t="shared" si="2"/>
        <v>2024</v>
      </c>
      <c r="K48" s="8" t="str">
        <f t="shared" si="3"/>
        <v>2024 - 8</v>
      </c>
    </row>
    <row r="49" outlineLevel="1">
      <c r="A49" s="2">
        <v>48.0</v>
      </c>
      <c r="B49" s="3">
        <v>45521.0</v>
      </c>
      <c r="C49" s="5" t="s">
        <v>24</v>
      </c>
      <c r="D49" s="5" t="s">
        <v>13</v>
      </c>
      <c r="E49" s="6">
        <v>430.0</v>
      </c>
      <c r="F49" s="7">
        <f t="shared" si="4"/>
        <v>10055.85</v>
      </c>
      <c r="G49" s="5" t="s">
        <v>59</v>
      </c>
      <c r="H49" s="11" t="s">
        <v>58</v>
      </c>
      <c r="I49" s="8">
        <f t="shared" si="1"/>
        <v>8</v>
      </c>
      <c r="J49" s="8">
        <f t="shared" si="2"/>
        <v>2024</v>
      </c>
      <c r="K49" s="8" t="str">
        <f t="shared" si="3"/>
        <v>2024 - 8</v>
      </c>
    </row>
    <row r="50" outlineLevel="1">
      <c r="A50" s="2">
        <v>49.0</v>
      </c>
      <c r="B50" s="3">
        <v>45521.0</v>
      </c>
      <c r="C50" s="5" t="s">
        <v>24</v>
      </c>
      <c r="D50" s="5" t="s">
        <v>13</v>
      </c>
      <c r="E50" s="6">
        <v>428.0</v>
      </c>
      <c r="F50" s="7">
        <f t="shared" si="4"/>
        <v>10483.85</v>
      </c>
      <c r="G50" s="5" t="s">
        <v>60</v>
      </c>
      <c r="H50" s="11" t="s">
        <v>58</v>
      </c>
      <c r="I50" s="8">
        <f t="shared" si="1"/>
        <v>8</v>
      </c>
      <c r="J50" s="8">
        <f t="shared" si="2"/>
        <v>2024</v>
      </c>
      <c r="K50" s="8" t="str">
        <f t="shared" si="3"/>
        <v>2024 - 8</v>
      </c>
    </row>
    <row r="51" outlineLevel="1">
      <c r="A51" s="2">
        <v>50.0</v>
      </c>
      <c r="B51" s="3">
        <v>45522.0</v>
      </c>
      <c r="C51" s="5" t="s">
        <v>24</v>
      </c>
      <c r="D51" s="5" t="s">
        <v>13</v>
      </c>
      <c r="E51" s="6">
        <v>325.0</v>
      </c>
      <c r="F51" s="7">
        <f t="shared" si="4"/>
        <v>10808.85</v>
      </c>
      <c r="G51" s="5" t="s">
        <v>14</v>
      </c>
      <c r="H51" s="11" t="s">
        <v>58</v>
      </c>
      <c r="I51" s="8">
        <f t="shared" si="1"/>
        <v>8</v>
      </c>
      <c r="J51" s="8">
        <f t="shared" si="2"/>
        <v>2024</v>
      </c>
      <c r="K51" s="8" t="str">
        <f t="shared" si="3"/>
        <v>2024 - 8</v>
      </c>
    </row>
    <row r="52" outlineLevel="1">
      <c r="A52" s="2">
        <v>51.0</v>
      </c>
      <c r="B52" s="3">
        <v>45522.0</v>
      </c>
      <c r="C52" s="5" t="s">
        <v>24</v>
      </c>
      <c r="D52" s="5" t="s">
        <v>13</v>
      </c>
      <c r="E52" s="6">
        <v>428.0</v>
      </c>
      <c r="F52" s="7">
        <f t="shared" si="4"/>
        <v>11236.85</v>
      </c>
      <c r="G52" s="5" t="s">
        <v>61</v>
      </c>
      <c r="H52" s="11" t="s">
        <v>58</v>
      </c>
      <c r="I52" s="8">
        <f t="shared" si="1"/>
        <v>8</v>
      </c>
      <c r="J52" s="8">
        <f t="shared" si="2"/>
        <v>2024</v>
      </c>
      <c r="K52" s="8" t="str">
        <f t="shared" si="3"/>
        <v>2024 - 8</v>
      </c>
    </row>
    <row r="53" outlineLevel="1">
      <c r="A53" s="2">
        <v>52.0</v>
      </c>
      <c r="B53" s="3">
        <v>45522.0</v>
      </c>
      <c r="C53" s="5" t="s">
        <v>24</v>
      </c>
      <c r="D53" s="5" t="s">
        <v>13</v>
      </c>
      <c r="E53" s="6">
        <v>18.0</v>
      </c>
      <c r="F53" s="7">
        <f t="shared" si="4"/>
        <v>11254.85</v>
      </c>
      <c r="G53" s="5" t="s">
        <v>61</v>
      </c>
      <c r="H53" s="11" t="s">
        <v>58</v>
      </c>
      <c r="I53" s="8">
        <f t="shared" si="1"/>
        <v>8</v>
      </c>
      <c r="J53" s="8">
        <f t="shared" si="2"/>
        <v>2024</v>
      </c>
      <c r="K53" s="8" t="str">
        <f t="shared" si="3"/>
        <v>2024 - 8</v>
      </c>
    </row>
    <row r="54" outlineLevel="1">
      <c r="A54" s="2">
        <v>53.0</v>
      </c>
      <c r="B54" s="3">
        <v>45522.0</v>
      </c>
      <c r="C54" s="5" t="s">
        <v>24</v>
      </c>
      <c r="D54" s="5" t="s">
        <v>13</v>
      </c>
      <c r="E54" s="6">
        <v>2400.0</v>
      </c>
      <c r="F54" s="7">
        <f t="shared" si="4"/>
        <v>13654.85</v>
      </c>
      <c r="G54" s="5" t="s">
        <v>62</v>
      </c>
      <c r="H54" s="11" t="s">
        <v>58</v>
      </c>
      <c r="I54" s="8">
        <f t="shared" si="1"/>
        <v>8</v>
      </c>
      <c r="J54" s="8">
        <f t="shared" si="2"/>
        <v>2024</v>
      </c>
      <c r="K54" s="8" t="str">
        <f t="shared" si="3"/>
        <v>2024 - 8</v>
      </c>
    </row>
    <row r="55" outlineLevel="1">
      <c r="A55" s="2">
        <v>54.0</v>
      </c>
      <c r="B55" s="3">
        <v>45522.0</v>
      </c>
      <c r="C55" s="5" t="s">
        <v>24</v>
      </c>
      <c r="D55" s="5" t="s">
        <v>13</v>
      </c>
      <c r="E55" s="6">
        <v>325.0</v>
      </c>
      <c r="F55" s="7">
        <f t="shared" si="4"/>
        <v>13979.85</v>
      </c>
      <c r="G55" s="5" t="s">
        <v>60</v>
      </c>
      <c r="H55" s="11" t="s">
        <v>58</v>
      </c>
      <c r="I55" s="8">
        <f t="shared" si="1"/>
        <v>8</v>
      </c>
      <c r="J55" s="8">
        <f t="shared" si="2"/>
        <v>2024</v>
      </c>
      <c r="K55" s="8" t="str">
        <f t="shared" si="3"/>
        <v>2024 - 8</v>
      </c>
    </row>
    <row r="56" outlineLevel="1">
      <c r="A56" s="2">
        <v>55.0</v>
      </c>
      <c r="B56" s="3">
        <v>45522.0</v>
      </c>
      <c r="C56" s="5" t="s">
        <v>24</v>
      </c>
      <c r="D56" s="5" t="s">
        <v>13</v>
      </c>
      <c r="E56" s="6">
        <v>435.0</v>
      </c>
      <c r="F56" s="7">
        <f t="shared" si="4"/>
        <v>14414.85</v>
      </c>
      <c r="G56" s="5" t="s">
        <v>14</v>
      </c>
      <c r="H56" s="11" t="s">
        <v>58</v>
      </c>
      <c r="I56" s="8">
        <f t="shared" si="1"/>
        <v>8</v>
      </c>
      <c r="J56" s="8">
        <f t="shared" si="2"/>
        <v>2024</v>
      </c>
      <c r="K56" s="8" t="str">
        <f t="shared" si="3"/>
        <v>2024 - 8</v>
      </c>
    </row>
    <row r="57" outlineLevel="1">
      <c r="A57" s="2">
        <v>56.0</v>
      </c>
      <c r="B57" s="3">
        <v>45522.0</v>
      </c>
      <c r="C57" s="5" t="s">
        <v>24</v>
      </c>
      <c r="D57" s="5" t="s">
        <v>13</v>
      </c>
      <c r="E57" s="6">
        <v>860.0</v>
      </c>
      <c r="F57" s="7">
        <f t="shared" si="4"/>
        <v>15274.85</v>
      </c>
      <c r="G57" s="5" t="s">
        <v>63</v>
      </c>
      <c r="H57" s="11" t="s">
        <v>58</v>
      </c>
      <c r="I57" s="8">
        <f t="shared" si="1"/>
        <v>8</v>
      </c>
      <c r="J57" s="8">
        <f t="shared" si="2"/>
        <v>2024</v>
      </c>
      <c r="K57" s="8" t="str">
        <f t="shared" si="3"/>
        <v>2024 - 8</v>
      </c>
    </row>
    <row r="58" outlineLevel="1">
      <c r="A58" s="2">
        <v>57.0</v>
      </c>
      <c r="B58" s="3">
        <v>45522.0</v>
      </c>
      <c r="C58" s="5" t="s">
        <v>31</v>
      </c>
      <c r="D58" s="5" t="s">
        <v>39</v>
      </c>
      <c r="E58" s="6">
        <v>-364.0</v>
      </c>
      <c r="F58" s="7">
        <f t="shared" si="4"/>
        <v>14910.85</v>
      </c>
      <c r="G58" s="5" t="s">
        <v>64</v>
      </c>
      <c r="H58" s="9" t="s">
        <v>65</v>
      </c>
      <c r="I58" s="8">
        <f t="shared" si="1"/>
        <v>8</v>
      </c>
      <c r="J58" s="8">
        <f t="shared" si="2"/>
        <v>2024</v>
      </c>
      <c r="K58" s="8" t="str">
        <f t="shared" si="3"/>
        <v>2024 - 8</v>
      </c>
    </row>
    <row r="59" outlineLevel="1">
      <c r="A59" s="2">
        <v>58.0</v>
      </c>
      <c r="B59" s="3">
        <v>45522.0</v>
      </c>
      <c r="C59" s="5" t="s">
        <v>38</v>
      </c>
      <c r="D59" s="5" t="s">
        <v>39</v>
      </c>
      <c r="E59" s="6">
        <v>-2700.0</v>
      </c>
      <c r="F59" s="7">
        <f t="shared" si="4"/>
        <v>12210.85</v>
      </c>
      <c r="G59" s="5" t="s">
        <v>66</v>
      </c>
      <c r="H59" s="9" t="s">
        <v>65</v>
      </c>
      <c r="I59" s="8">
        <f t="shared" si="1"/>
        <v>8</v>
      </c>
      <c r="J59" s="8">
        <f t="shared" si="2"/>
        <v>2024</v>
      </c>
      <c r="K59" s="8" t="str">
        <f t="shared" si="3"/>
        <v>2024 - 8</v>
      </c>
    </row>
    <row r="60" outlineLevel="1">
      <c r="A60" s="2">
        <v>59.0</v>
      </c>
      <c r="B60" s="3">
        <v>45522.0</v>
      </c>
      <c r="C60" s="5" t="s">
        <v>31</v>
      </c>
      <c r="D60" s="5" t="s">
        <v>10</v>
      </c>
      <c r="E60" s="6">
        <v>-570.0</v>
      </c>
      <c r="F60" s="7">
        <f t="shared" si="4"/>
        <v>11640.85</v>
      </c>
      <c r="G60" s="5" t="s">
        <v>64</v>
      </c>
      <c r="I60" s="8">
        <f t="shared" si="1"/>
        <v>8</v>
      </c>
      <c r="J60" s="8">
        <f t="shared" si="2"/>
        <v>2024</v>
      </c>
      <c r="K60" s="8" t="str">
        <f t="shared" si="3"/>
        <v>2024 - 8</v>
      </c>
    </row>
    <row r="61" outlineLevel="1">
      <c r="A61" s="2">
        <v>60.0</v>
      </c>
      <c r="B61" s="3">
        <v>45522.0</v>
      </c>
      <c r="C61" s="5" t="s">
        <v>18</v>
      </c>
      <c r="D61" s="5" t="s">
        <v>39</v>
      </c>
      <c r="E61" s="6">
        <v>-1894.0</v>
      </c>
      <c r="F61" s="7">
        <f t="shared" si="4"/>
        <v>9746.85</v>
      </c>
      <c r="G61" s="5" t="s">
        <v>67</v>
      </c>
      <c r="H61" s="9" t="s">
        <v>65</v>
      </c>
      <c r="I61" s="8">
        <f t="shared" si="1"/>
        <v>8</v>
      </c>
      <c r="J61" s="8">
        <f t="shared" si="2"/>
        <v>2024</v>
      </c>
      <c r="K61" s="8" t="str">
        <f t="shared" si="3"/>
        <v>2024 - 8</v>
      </c>
    </row>
    <row r="62" outlineLevel="1">
      <c r="A62" s="2">
        <v>61.0</v>
      </c>
      <c r="B62" s="3">
        <v>45522.0</v>
      </c>
      <c r="C62" s="5" t="s">
        <v>31</v>
      </c>
      <c r="D62" s="5" t="s">
        <v>39</v>
      </c>
      <c r="E62" s="6">
        <v>-360.0</v>
      </c>
      <c r="F62" s="7">
        <f t="shared" si="4"/>
        <v>9386.85</v>
      </c>
      <c r="G62" s="5" t="s">
        <v>64</v>
      </c>
      <c r="H62" s="9" t="s">
        <v>65</v>
      </c>
      <c r="I62" s="8">
        <f t="shared" si="1"/>
        <v>8</v>
      </c>
      <c r="J62" s="8">
        <f t="shared" si="2"/>
        <v>2024</v>
      </c>
      <c r="K62" s="8" t="str">
        <f t="shared" si="3"/>
        <v>2024 - 8</v>
      </c>
    </row>
    <row r="63" outlineLevel="1">
      <c r="A63" s="2">
        <v>62.0</v>
      </c>
      <c r="B63" s="3">
        <v>45522.0</v>
      </c>
      <c r="C63" s="5" t="s">
        <v>31</v>
      </c>
      <c r="D63" s="5" t="s">
        <v>39</v>
      </c>
      <c r="E63" s="6">
        <v>-237.0</v>
      </c>
      <c r="F63" s="7">
        <f t="shared" si="4"/>
        <v>9149.85</v>
      </c>
      <c r="G63" s="5" t="s">
        <v>64</v>
      </c>
      <c r="H63" s="9" t="s">
        <v>65</v>
      </c>
      <c r="I63" s="8">
        <f t="shared" si="1"/>
        <v>8</v>
      </c>
      <c r="J63" s="8">
        <f t="shared" si="2"/>
        <v>2024</v>
      </c>
      <c r="K63" s="8" t="str">
        <f t="shared" si="3"/>
        <v>2024 - 8</v>
      </c>
    </row>
    <row r="64" outlineLevel="1">
      <c r="A64" s="2">
        <v>63.0</v>
      </c>
      <c r="B64" s="3">
        <v>45522.0</v>
      </c>
      <c r="C64" s="5" t="s">
        <v>31</v>
      </c>
      <c r="D64" s="5" t="s">
        <v>39</v>
      </c>
      <c r="E64" s="6">
        <v>-475.0</v>
      </c>
      <c r="F64" s="7">
        <f t="shared" si="4"/>
        <v>8674.85</v>
      </c>
      <c r="G64" s="5" t="s">
        <v>64</v>
      </c>
      <c r="H64" s="9" t="s">
        <v>65</v>
      </c>
      <c r="I64" s="8">
        <f t="shared" si="1"/>
        <v>8</v>
      </c>
      <c r="J64" s="8">
        <f t="shared" si="2"/>
        <v>2024</v>
      </c>
      <c r="K64" s="8" t="str">
        <f t="shared" si="3"/>
        <v>2024 - 8</v>
      </c>
    </row>
    <row r="65" outlineLevel="1">
      <c r="A65" s="2">
        <v>64.0</v>
      </c>
      <c r="B65" s="3">
        <v>45522.0</v>
      </c>
      <c r="C65" s="5" t="s">
        <v>16</v>
      </c>
      <c r="D65" s="5" t="s">
        <v>10</v>
      </c>
      <c r="E65" s="6">
        <v>-1215.0</v>
      </c>
      <c r="F65" s="7">
        <f t="shared" si="4"/>
        <v>7459.85</v>
      </c>
      <c r="G65" s="5" t="s">
        <v>68</v>
      </c>
      <c r="H65" s="5"/>
      <c r="I65" s="8">
        <f t="shared" si="1"/>
        <v>8</v>
      </c>
      <c r="J65" s="8">
        <f t="shared" si="2"/>
        <v>2024</v>
      </c>
      <c r="K65" s="8" t="str">
        <f t="shared" si="3"/>
        <v>2024 - 8</v>
      </c>
    </row>
    <row r="66" outlineLevel="1">
      <c r="A66" s="2">
        <v>65.0</v>
      </c>
      <c r="B66" s="3">
        <v>45522.0</v>
      </c>
      <c r="C66" s="5" t="s">
        <v>24</v>
      </c>
      <c r="D66" s="5" t="s">
        <v>13</v>
      </c>
      <c r="E66" s="6">
        <v>165.0</v>
      </c>
      <c r="F66" s="7">
        <f t="shared" si="4"/>
        <v>7624.85</v>
      </c>
      <c r="G66" s="5" t="s">
        <v>69</v>
      </c>
      <c r="H66" s="9" t="s">
        <v>51</v>
      </c>
      <c r="I66" s="8">
        <f t="shared" si="1"/>
        <v>8</v>
      </c>
      <c r="J66" s="8">
        <f t="shared" si="2"/>
        <v>2024</v>
      </c>
      <c r="K66" s="8" t="str">
        <f t="shared" si="3"/>
        <v>2024 - 8</v>
      </c>
    </row>
    <row r="67" outlineLevel="1">
      <c r="A67" s="2">
        <v>66.0</v>
      </c>
      <c r="B67" s="3">
        <v>45523.0</v>
      </c>
      <c r="C67" s="5" t="s">
        <v>24</v>
      </c>
      <c r="D67" s="5" t="s">
        <v>13</v>
      </c>
      <c r="E67" s="6">
        <v>4800.0</v>
      </c>
      <c r="F67" s="7">
        <f t="shared" si="4"/>
        <v>12424.85</v>
      </c>
      <c r="G67" s="5" t="s">
        <v>70</v>
      </c>
      <c r="H67" s="9" t="s">
        <v>71</v>
      </c>
      <c r="I67" s="8">
        <f t="shared" si="1"/>
        <v>8</v>
      </c>
      <c r="J67" s="8">
        <f t="shared" si="2"/>
        <v>2024</v>
      </c>
      <c r="K67" s="8" t="str">
        <f t="shared" si="3"/>
        <v>2024 - 8</v>
      </c>
    </row>
    <row r="68" outlineLevel="1">
      <c r="A68" s="2">
        <v>67.0</v>
      </c>
      <c r="B68" s="3">
        <v>45523.0</v>
      </c>
      <c r="C68" s="5" t="s">
        <v>24</v>
      </c>
      <c r="D68" s="5" t="s">
        <v>13</v>
      </c>
      <c r="E68" s="6">
        <v>6350.0</v>
      </c>
      <c r="F68" s="7">
        <f t="shared" si="4"/>
        <v>18774.85</v>
      </c>
      <c r="G68" s="5" t="s">
        <v>72</v>
      </c>
      <c r="H68" s="9" t="s">
        <v>73</v>
      </c>
      <c r="I68" s="8">
        <f t="shared" si="1"/>
        <v>8</v>
      </c>
      <c r="J68" s="8">
        <f t="shared" si="2"/>
        <v>2024</v>
      </c>
      <c r="K68" s="8" t="str">
        <f t="shared" si="3"/>
        <v>2024 - 8</v>
      </c>
    </row>
    <row r="69" outlineLevel="1">
      <c r="A69" s="2">
        <v>68.0</v>
      </c>
      <c r="B69" s="3">
        <v>45523.0</v>
      </c>
      <c r="C69" s="5" t="s">
        <v>18</v>
      </c>
      <c r="D69" s="5" t="s">
        <v>10</v>
      </c>
      <c r="E69" s="6">
        <v>-330.0</v>
      </c>
      <c r="F69" s="7">
        <f t="shared" si="4"/>
        <v>18444.85</v>
      </c>
      <c r="G69" s="5" t="s">
        <v>74</v>
      </c>
      <c r="H69" s="5"/>
      <c r="I69" s="8">
        <f t="shared" si="1"/>
        <v>8</v>
      </c>
      <c r="J69" s="8">
        <f t="shared" si="2"/>
        <v>2024</v>
      </c>
      <c r="K69" s="8" t="str">
        <f t="shared" si="3"/>
        <v>2024 - 8</v>
      </c>
    </row>
    <row r="70" outlineLevel="1">
      <c r="A70" s="2">
        <v>69.0</v>
      </c>
      <c r="B70" s="3">
        <v>45523.0</v>
      </c>
      <c r="C70" s="5" t="s">
        <v>31</v>
      </c>
      <c r="D70" s="5" t="s">
        <v>10</v>
      </c>
      <c r="E70" s="6">
        <v>-30.0</v>
      </c>
      <c r="F70" s="7">
        <f t="shared" si="4"/>
        <v>18414.85</v>
      </c>
      <c r="G70" s="5" t="s">
        <v>44</v>
      </c>
      <c r="H70" s="5"/>
      <c r="I70" s="8">
        <f t="shared" si="1"/>
        <v>8</v>
      </c>
      <c r="J70" s="8">
        <f t="shared" si="2"/>
        <v>2024</v>
      </c>
      <c r="K70" s="8" t="str">
        <f t="shared" si="3"/>
        <v>2024 - 8</v>
      </c>
    </row>
    <row r="71" outlineLevel="1">
      <c r="A71" s="2">
        <v>70.0</v>
      </c>
      <c r="B71" s="3">
        <v>45523.0</v>
      </c>
      <c r="C71" s="5" t="s">
        <v>31</v>
      </c>
      <c r="D71" s="5" t="s">
        <v>10</v>
      </c>
      <c r="E71" s="6">
        <v>-60.0</v>
      </c>
      <c r="F71" s="7">
        <f t="shared" si="4"/>
        <v>18354.85</v>
      </c>
      <c r="G71" s="5" t="s">
        <v>44</v>
      </c>
      <c r="H71" s="5"/>
      <c r="I71" s="8">
        <f t="shared" si="1"/>
        <v>8</v>
      </c>
      <c r="J71" s="8">
        <f t="shared" si="2"/>
        <v>2024</v>
      </c>
      <c r="K71" s="8" t="str">
        <f t="shared" si="3"/>
        <v>2024 - 8</v>
      </c>
    </row>
    <row r="72" outlineLevel="1">
      <c r="A72" s="2">
        <v>71.0</v>
      </c>
      <c r="B72" s="3">
        <v>45523.0</v>
      </c>
      <c r="C72" s="5" t="s">
        <v>24</v>
      </c>
      <c r="D72" s="5" t="s">
        <v>13</v>
      </c>
      <c r="E72" s="6">
        <v>3400.0</v>
      </c>
      <c r="F72" s="7">
        <f t="shared" si="4"/>
        <v>21754.85</v>
      </c>
      <c r="G72" s="5" t="s">
        <v>75</v>
      </c>
      <c r="H72" s="9" t="s">
        <v>76</v>
      </c>
      <c r="I72" s="8">
        <f t="shared" si="1"/>
        <v>8</v>
      </c>
      <c r="J72" s="8">
        <f t="shared" si="2"/>
        <v>2024</v>
      </c>
      <c r="K72" s="8" t="str">
        <f t="shared" si="3"/>
        <v>2024 - 8</v>
      </c>
    </row>
    <row r="73" outlineLevel="1">
      <c r="A73" s="2">
        <v>72.0</v>
      </c>
      <c r="B73" s="3">
        <v>45523.0</v>
      </c>
      <c r="C73" s="5" t="s">
        <v>24</v>
      </c>
      <c r="D73" s="5" t="s">
        <v>13</v>
      </c>
      <c r="E73" s="6">
        <v>1290.0</v>
      </c>
      <c r="F73" s="7">
        <f t="shared" si="4"/>
        <v>23044.85</v>
      </c>
      <c r="G73" s="5" t="s">
        <v>77</v>
      </c>
      <c r="H73" s="9" t="s">
        <v>53</v>
      </c>
      <c r="I73" s="8">
        <f t="shared" si="1"/>
        <v>8</v>
      </c>
      <c r="J73" s="8">
        <f t="shared" si="2"/>
        <v>2024</v>
      </c>
      <c r="K73" s="8" t="str">
        <f t="shared" si="3"/>
        <v>2024 - 8</v>
      </c>
    </row>
    <row r="74" outlineLevel="1">
      <c r="A74" s="2">
        <v>73.0</v>
      </c>
      <c r="B74" s="3">
        <v>45523.0</v>
      </c>
      <c r="C74" s="5" t="s">
        <v>31</v>
      </c>
      <c r="D74" s="5" t="s">
        <v>10</v>
      </c>
      <c r="E74" s="6">
        <v>-30.0</v>
      </c>
      <c r="F74" s="7">
        <f t="shared" si="4"/>
        <v>23014.85</v>
      </c>
      <c r="G74" s="5" t="s">
        <v>44</v>
      </c>
      <c r="H74" s="5"/>
      <c r="I74" s="8">
        <f t="shared" si="1"/>
        <v>8</v>
      </c>
      <c r="J74" s="8">
        <f t="shared" si="2"/>
        <v>2024</v>
      </c>
      <c r="K74" s="8" t="str">
        <f t="shared" si="3"/>
        <v>2024 - 8</v>
      </c>
    </row>
    <row r="75" outlineLevel="1">
      <c r="A75" s="2">
        <v>74.0</v>
      </c>
      <c r="B75" s="3">
        <v>45523.0</v>
      </c>
      <c r="C75" s="5" t="s">
        <v>31</v>
      </c>
      <c r="D75" s="5" t="s">
        <v>10</v>
      </c>
      <c r="E75" s="6">
        <v>-50.0</v>
      </c>
      <c r="F75" s="7">
        <f t="shared" si="4"/>
        <v>22964.85</v>
      </c>
      <c r="G75" s="5" t="s">
        <v>32</v>
      </c>
      <c r="H75" s="5"/>
      <c r="I75" s="8">
        <f t="shared" si="1"/>
        <v>8</v>
      </c>
      <c r="J75" s="8">
        <f t="shared" si="2"/>
        <v>2024</v>
      </c>
      <c r="K75" s="8" t="str">
        <f t="shared" si="3"/>
        <v>2024 - 8</v>
      </c>
    </row>
    <row r="76" outlineLevel="1">
      <c r="A76" s="2">
        <v>75.0</v>
      </c>
      <c r="B76" s="3">
        <v>45524.0</v>
      </c>
      <c r="C76" s="5" t="s">
        <v>78</v>
      </c>
      <c r="D76" s="5" t="s">
        <v>10</v>
      </c>
      <c r="E76" s="6">
        <v>52130.0</v>
      </c>
      <c r="F76" s="7">
        <f t="shared" si="4"/>
        <v>75094.85</v>
      </c>
      <c r="G76" s="5" t="s">
        <v>79</v>
      </c>
      <c r="H76" s="5"/>
      <c r="I76" s="8">
        <f t="shared" si="1"/>
        <v>8</v>
      </c>
      <c r="J76" s="8">
        <f t="shared" si="2"/>
        <v>2024</v>
      </c>
      <c r="K76" s="8" t="str">
        <f t="shared" si="3"/>
        <v>2024 - 8</v>
      </c>
    </row>
    <row r="77" outlineLevel="1">
      <c r="A77" s="2">
        <v>76.0</v>
      </c>
      <c r="B77" s="3">
        <v>45524.0</v>
      </c>
      <c r="C77" s="5" t="s">
        <v>80</v>
      </c>
      <c r="D77" s="5" t="s">
        <v>10</v>
      </c>
      <c r="E77" s="6">
        <v>-5000.0</v>
      </c>
      <c r="F77" s="7">
        <f t="shared" si="4"/>
        <v>70094.85</v>
      </c>
      <c r="I77" s="8">
        <f t="shared" si="1"/>
        <v>8</v>
      </c>
      <c r="J77" s="8">
        <f t="shared" si="2"/>
        <v>2024</v>
      </c>
      <c r="K77" s="8" t="str">
        <f t="shared" si="3"/>
        <v>2024 - 8</v>
      </c>
    </row>
    <row r="78" outlineLevel="1">
      <c r="A78" s="2">
        <v>77.0</v>
      </c>
      <c r="B78" s="3">
        <v>45525.0</v>
      </c>
      <c r="C78" s="5" t="s">
        <v>49</v>
      </c>
      <c r="D78" s="5" t="s">
        <v>10</v>
      </c>
      <c r="E78" s="6">
        <v>-2002.46</v>
      </c>
      <c r="F78" s="7">
        <f t="shared" si="4"/>
        <v>68092.39</v>
      </c>
      <c r="G78" s="5" t="s">
        <v>81</v>
      </c>
      <c r="H78" s="5"/>
      <c r="I78" s="8">
        <f t="shared" si="1"/>
        <v>8</v>
      </c>
      <c r="J78" s="8">
        <f t="shared" si="2"/>
        <v>2024</v>
      </c>
      <c r="K78" s="8" t="str">
        <f t="shared" si="3"/>
        <v>2024 - 8</v>
      </c>
    </row>
    <row r="79" outlineLevel="1">
      <c r="A79" s="2">
        <v>78.0</v>
      </c>
      <c r="B79" s="3">
        <v>45525.0</v>
      </c>
      <c r="C79" s="5" t="s">
        <v>31</v>
      </c>
      <c r="D79" s="5" t="s">
        <v>10</v>
      </c>
      <c r="E79" s="6">
        <v>-50.0</v>
      </c>
      <c r="F79" s="7">
        <f t="shared" si="4"/>
        <v>68042.39</v>
      </c>
      <c r="G79" s="5" t="s">
        <v>44</v>
      </c>
      <c r="H79" s="5"/>
      <c r="I79" s="8">
        <f t="shared" si="1"/>
        <v>8</v>
      </c>
      <c r="J79" s="8">
        <f t="shared" si="2"/>
        <v>2024</v>
      </c>
      <c r="K79" s="8" t="str">
        <f t="shared" si="3"/>
        <v>2024 - 8</v>
      </c>
    </row>
    <row r="80" outlineLevel="1">
      <c r="A80" s="2">
        <v>79.0</v>
      </c>
      <c r="B80" s="3">
        <v>45525.0</v>
      </c>
      <c r="C80" s="5" t="s">
        <v>16</v>
      </c>
      <c r="D80" s="5" t="s">
        <v>10</v>
      </c>
      <c r="E80" s="6">
        <v>-3980.0</v>
      </c>
      <c r="F80" s="7">
        <f t="shared" si="4"/>
        <v>64062.39</v>
      </c>
      <c r="G80" s="5" t="s">
        <v>82</v>
      </c>
      <c r="H80" s="5"/>
      <c r="I80" s="8">
        <f t="shared" si="1"/>
        <v>8</v>
      </c>
      <c r="J80" s="8">
        <f t="shared" si="2"/>
        <v>2024</v>
      </c>
      <c r="K80" s="8" t="str">
        <f t="shared" si="3"/>
        <v>2024 - 8</v>
      </c>
    </row>
    <row r="81" outlineLevel="1">
      <c r="A81" s="2">
        <v>80.0</v>
      </c>
      <c r="B81" s="3">
        <v>45525.0</v>
      </c>
      <c r="C81" s="5" t="s">
        <v>16</v>
      </c>
      <c r="D81" s="5" t="s">
        <v>13</v>
      </c>
      <c r="E81" s="6">
        <v>-5540.0</v>
      </c>
      <c r="F81" s="7">
        <f t="shared" si="4"/>
        <v>58522.39</v>
      </c>
      <c r="G81" s="5" t="s">
        <v>83</v>
      </c>
      <c r="H81" s="9" t="s">
        <v>84</v>
      </c>
      <c r="I81" s="8">
        <f t="shared" si="1"/>
        <v>8</v>
      </c>
      <c r="J81" s="8">
        <f t="shared" si="2"/>
        <v>2024</v>
      </c>
      <c r="K81" s="8" t="str">
        <f t="shared" si="3"/>
        <v>2024 - 8</v>
      </c>
    </row>
    <row r="82" outlineLevel="1">
      <c r="A82" s="2">
        <v>81.0</v>
      </c>
      <c r="B82" s="3">
        <v>45525.0</v>
      </c>
      <c r="C82" s="5" t="s">
        <v>24</v>
      </c>
      <c r="D82" s="5" t="s">
        <v>13</v>
      </c>
      <c r="E82" s="6">
        <v>3000.0</v>
      </c>
      <c r="F82" s="7">
        <f t="shared" si="4"/>
        <v>61522.39</v>
      </c>
      <c r="G82" s="5" t="s">
        <v>83</v>
      </c>
      <c r="H82" s="9" t="s">
        <v>84</v>
      </c>
      <c r="I82" s="8">
        <f t="shared" si="1"/>
        <v>8</v>
      </c>
      <c r="J82" s="8">
        <f t="shared" si="2"/>
        <v>2024</v>
      </c>
      <c r="K82" s="8" t="str">
        <f t="shared" si="3"/>
        <v>2024 - 8</v>
      </c>
    </row>
    <row r="83" outlineLevel="1">
      <c r="A83" s="2">
        <v>82.0</v>
      </c>
      <c r="B83" s="3">
        <v>45525.0</v>
      </c>
      <c r="C83" s="5" t="s">
        <v>31</v>
      </c>
      <c r="D83" s="5" t="s">
        <v>10</v>
      </c>
      <c r="E83" s="6">
        <v>-134.0</v>
      </c>
      <c r="F83" s="7">
        <f t="shared" si="4"/>
        <v>61388.39</v>
      </c>
      <c r="G83" s="5" t="s">
        <v>32</v>
      </c>
      <c r="H83" s="5"/>
      <c r="I83" s="8">
        <f t="shared" si="1"/>
        <v>8</v>
      </c>
      <c r="J83" s="8">
        <f t="shared" si="2"/>
        <v>2024</v>
      </c>
      <c r="K83" s="8" t="str">
        <f t="shared" si="3"/>
        <v>2024 - 8</v>
      </c>
    </row>
    <row r="84" outlineLevel="1">
      <c r="A84" s="2">
        <v>83.0</v>
      </c>
      <c r="B84" s="3">
        <v>45525.0</v>
      </c>
      <c r="C84" s="5" t="s">
        <v>18</v>
      </c>
      <c r="D84" s="5" t="s">
        <v>39</v>
      </c>
      <c r="E84" s="6">
        <v>-1533.0</v>
      </c>
      <c r="F84" s="7">
        <f t="shared" si="4"/>
        <v>59855.39</v>
      </c>
      <c r="G84" s="5" t="s">
        <v>85</v>
      </c>
      <c r="H84" s="5"/>
      <c r="I84" s="8">
        <f t="shared" si="1"/>
        <v>8</v>
      </c>
      <c r="J84" s="8">
        <f t="shared" si="2"/>
        <v>2024</v>
      </c>
      <c r="K84" s="8" t="str">
        <f t="shared" si="3"/>
        <v>2024 - 8</v>
      </c>
    </row>
    <row r="85" outlineLevel="1">
      <c r="A85" s="2">
        <v>84.0</v>
      </c>
      <c r="B85" s="3">
        <v>45525.0</v>
      </c>
      <c r="C85" s="5" t="s">
        <v>31</v>
      </c>
      <c r="D85" s="5" t="s">
        <v>10</v>
      </c>
      <c r="E85" s="6">
        <v>-76.0</v>
      </c>
      <c r="F85" s="7">
        <f t="shared" si="4"/>
        <v>59779.39</v>
      </c>
      <c r="G85" s="5" t="s">
        <v>32</v>
      </c>
      <c r="H85" s="5"/>
      <c r="I85" s="8">
        <f t="shared" si="1"/>
        <v>8</v>
      </c>
      <c r="J85" s="8">
        <f t="shared" si="2"/>
        <v>2024</v>
      </c>
      <c r="K85" s="8" t="str">
        <f t="shared" si="3"/>
        <v>2024 - 8</v>
      </c>
    </row>
    <row r="86" outlineLevel="1">
      <c r="A86" s="2">
        <v>85.0</v>
      </c>
      <c r="B86" s="3">
        <v>45525.0</v>
      </c>
      <c r="C86" s="5" t="s">
        <v>31</v>
      </c>
      <c r="D86" s="5" t="s">
        <v>39</v>
      </c>
      <c r="E86" s="6">
        <v>-27.59</v>
      </c>
      <c r="F86" s="7">
        <f t="shared" si="4"/>
        <v>59751.8</v>
      </c>
      <c r="G86" s="5" t="s">
        <v>32</v>
      </c>
      <c r="H86" s="5"/>
      <c r="I86" s="8">
        <f t="shared" si="1"/>
        <v>8</v>
      </c>
      <c r="J86" s="8">
        <f t="shared" si="2"/>
        <v>2024</v>
      </c>
      <c r="K86" s="8" t="str">
        <f t="shared" si="3"/>
        <v>2024 - 8</v>
      </c>
    </row>
    <row r="87" outlineLevel="1">
      <c r="A87" s="2">
        <v>86.0</v>
      </c>
      <c r="B87" s="3">
        <v>45525.0</v>
      </c>
      <c r="C87" s="5" t="s">
        <v>31</v>
      </c>
      <c r="D87" s="5" t="s">
        <v>10</v>
      </c>
      <c r="E87" s="6">
        <v>-83.9</v>
      </c>
      <c r="F87" s="7">
        <f t="shared" si="4"/>
        <v>59667.9</v>
      </c>
      <c r="G87" s="5" t="s">
        <v>32</v>
      </c>
      <c r="H87" s="5"/>
      <c r="I87" s="8">
        <f t="shared" si="1"/>
        <v>8</v>
      </c>
      <c r="J87" s="8">
        <f t="shared" si="2"/>
        <v>2024</v>
      </c>
      <c r="K87" s="8" t="str">
        <f t="shared" si="3"/>
        <v>2024 - 8</v>
      </c>
    </row>
    <row r="88" outlineLevel="1">
      <c r="A88" s="2">
        <v>87.0</v>
      </c>
      <c r="B88" s="3">
        <v>45526.0</v>
      </c>
      <c r="C88" s="12" t="s">
        <v>31</v>
      </c>
      <c r="D88" s="12" t="s">
        <v>10</v>
      </c>
      <c r="E88" s="6">
        <v>-40.0</v>
      </c>
      <c r="F88" s="7">
        <f t="shared" si="4"/>
        <v>59627.9</v>
      </c>
      <c r="G88" s="5" t="s">
        <v>44</v>
      </c>
      <c r="H88" s="5"/>
      <c r="I88" s="8">
        <f t="shared" si="1"/>
        <v>8</v>
      </c>
      <c r="J88" s="8">
        <f t="shared" si="2"/>
        <v>2024</v>
      </c>
      <c r="K88" s="8" t="str">
        <f t="shared" si="3"/>
        <v>2024 - 8</v>
      </c>
    </row>
    <row r="89" outlineLevel="1">
      <c r="A89" s="2">
        <v>88.0</v>
      </c>
      <c r="B89" s="3">
        <v>45526.0</v>
      </c>
      <c r="C89" s="5" t="s">
        <v>31</v>
      </c>
      <c r="D89" s="5" t="s">
        <v>10</v>
      </c>
      <c r="E89" s="6">
        <v>-40.0</v>
      </c>
      <c r="F89" s="7">
        <f t="shared" si="4"/>
        <v>59587.9</v>
      </c>
      <c r="G89" s="5" t="s">
        <v>44</v>
      </c>
      <c r="H89" s="5"/>
      <c r="I89" s="8">
        <f t="shared" si="1"/>
        <v>8</v>
      </c>
      <c r="J89" s="8">
        <f t="shared" si="2"/>
        <v>2024</v>
      </c>
      <c r="K89" s="8" t="str">
        <f t="shared" si="3"/>
        <v>2024 - 8</v>
      </c>
    </row>
    <row r="90" outlineLevel="1">
      <c r="A90" s="2">
        <v>89.0</v>
      </c>
      <c r="B90" s="3">
        <v>45526.0</v>
      </c>
      <c r="C90" s="5" t="s">
        <v>18</v>
      </c>
      <c r="D90" s="5" t="s">
        <v>10</v>
      </c>
      <c r="E90" s="6">
        <v>-397.0</v>
      </c>
      <c r="F90" s="7">
        <f t="shared" si="4"/>
        <v>59190.9</v>
      </c>
      <c r="G90" s="5" t="s">
        <v>86</v>
      </c>
      <c r="H90" s="5"/>
      <c r="I90" s="8">
        <f t="shared" si="1"/>
        <v>8</v>
      </c>
      <c r="J90" s="8">
        <f t="shared" si="2"/>
        <v>2024</v>
      </c>
      <c r="K90" s="8" t="str">
        <f t="shared" si="3"/>
        <v>2024 - 8</v>
      </c>
    </row>
    <row r="91" outlineLevel="1">
      <c r="A91" s="2">
        <v>90.0</v>
      </c>
      <c r="B91" s="3">
        <v>45526.0</v>
      </c>
      <c r="C91" s="5" t="s">
        <v>18</v>
      </c>
      <c r="D91" s="5" t="s">
        <v>39</v>
      </c>
      <c r="E91" s="6">
        <v>-632.58</v>
      </c>
      <c r="F91" s="7">
        <f t="shared" si="4"/>
        <v>58558.32</v>
      </c>
      <c r="G91" s="5" t="s">
        <v>87</v>
      </c>
      <c r="H91" s="5"/>
      <c r="I91" s="8">
        <f t="shared" si="1"/>
        <v>8</v>
      </c>
      <c r="J91" s="8">
        <f t="shared" si="2"/>
        <v>2024</v>
      </c>
      <c r="K91" s="8" t="str">
        <f t="shared" si="3"/>
        <v>2024 - 8</v>
      </c>
    </row>
    <row r="92" outlineLevel="1">
      <c r="A92" s="2">
        <v>91.0</v>
      </c>
      <c r="B92" s="3">
        <v>45526.0</v>
      </c>
      <c r="C92" s="5" t="s">
        <v>31</v>
      </c>
      <c r="D92" s="5" t="s">
        <v>10</v>
      </c>
      <c r="E92" s="6">
        <v>-184.0</v>
      </c>
      <c r="F92" s="7">
        <f t="shared" si="4"/>
        <v>58374.32</v>
      </c>
      <c r="G92" s="5" t="s">
        <v>32</v>
      </c>
      <c r="H92" s="5"/>
      <c r="I92" s="8">
        <f t="shared" si="1"/>
        <v>8</v>
      </c>
      <c r="J92" s="8">
        <f t="shared" si="2"/>
        <v>2024</v>
      </c>
      <c r="K92" s="8" t="str">
        <f t="shared" si="3"/>
        <v>2024 - 8</v>
      </c>
    </row>
    <row r="93" outlineLevel="1">
      <c r="A93" s="2">
        <v>92.0</v>
      </c>
      <c r="B93" s="3">
        <v>45526.0</v>
      </c>
      <c r="C93" s="5" t="s">
        <v>49</v>
      </c>
      <c r="D93" s="5" t="s">
        <v>20</v>
      </c>
      <c r="E93" s="6">
        <v>-700.0</v>
      </c>
      <c r="F93" s="7">
        <f t="shared" si="4"/>
        <v>57674.32</v>
      </c>
      <c r="G93" s="5" t="s">
        <v>88</v>
      </c>
      <c r="H93" s="5"/>
      <c r="I93" s="8">
        <f t="shared" si="1"/>
        <v>8</v>
      </c>
      <c r="J93" s="8">
        <f t="shared" si="2"/>
        <v>2024</v>
      </c>
      <c r="K93" s="8" t="str">
        <f t="shared" si="3"/>
        <v>2024 - 8</v>
      </c>
    </row>
    <row r="94" outlineLevel="1">
      <c r="A94" s="2">
        <v>93.0</v>
      </c>
      <c r="B94" s="3">
        <v>45527.0</v>
      </c>
      <c r="C94" s="5" t="s">
        <v>24</v>
      </c>
      <c r="D94" s="5" t="s">
        <v>13</v>
      </c>
      <c r="E94" s="6">
        <v>725.0</v>
      </c>
      <c r="F94" s="7">
        <f t="shared" si="4"/>
        <v>58399.32</v>
      </c>
      <c r="G94" s="5" t="s">
        <v>89</v>
      </c>
      <c r="H94" s="5"/>
      <c r="I94" s="8">
        <f t="shared" si="1"/>
        <v>8</v>
      </c>
      <c r="J94" s="8">
        <f t="shared" si="2"/>
        <v>2024</v>
      </c>
      <c r="K94" s="8" t="str">
        <f t="shared" si="3"/>
        <v>2024 - 8</v>
      </c>
    </row>
    <row r="95" outlineLevel="1">
      <c r="A95" s="2">
        <v>94.0</v>
      </c>
      <c r="B95" s="3">
        <v>45528.0</v>
      </c>
      <c r="C95" s="5" t="s">
        <v>18</v>
      </c>
      <c r="D95" s="5" t="s">
        <v>39</v>
      </c>
      <c r="E95" s="6">
        <v>-590.0</v>
      </c>
      <c r="F95" s="7">
        <f t="shared" si="4"/>
        <v>57809.32</v>
      </c>
      <c r="G95" s="5" t="s">
        <v>90</v>
      </c>
      <c r="H95" s="5"/>
      <c r="I95" s="8">
        <f t="shared" si="1"/>
        <v>8</v>
      </c>
      <c r="J95" s="8">
        <f t="shared" si="2"/>
        <v>2024</v>
      </c>
      <c r="K95" s="8" t="str">
        <f t="shared" si="3"/>
        <v>2024 - 8</v>
      </c>
    </row>
    <row r="96" outlineLevel="1">
      <c r="A96" s="2">
        <v>95.0</v>
      </c>
      <c r="B96" s="3">
        <v>45529.0</v>
      </c>
      <c r="C96" s="5" t="s">
        <v>18</v>
      </c>
      <c r="D96" s="5" t="s">
        <v>39</v>
      </c>
      <c r="E96" s="6">
        <v>-30.0</v>
      </c>
      <c r="F96" s="7">
        <f t="shared" si="4"/>
        <v>57779.32</v>
      </c>
      <c r="G96" s="5" t="s">
        <v>26</v>
      </c>
      <c r="H96" s="5"/>
      <c r="I96" s="8">
        <f t="shared" si="1"/>
        <v>8</v>
      </c>
      <c r="J96" s="8">
        <f t="shared" si="2"/>
        <v>2024</v>
      </c>
      <c r="K96" s="8" t="str">
        <f t="shared" si="3"/>
        <v>2024 - 8</v>
      </c>
    </row>
    <row r="97" outlineLevel="1">
      <c r="A97" s="2">
        <v>96.0</v>
      </c>
      <c r="B97" s="3">
        <v>45531.0</v>
      </c>
      <c r="C97" s="5" t="s">
        <v>18</v>
      </c>
      <c r="D97" s="5" t="s">
        <v>20</v>
      </c>
      <c r="E97" s="6">
        <v>-70.0</v>
      </c>
      <c r="F97" s="7">
        <f t="shared" si="4"/>
        <v>57709.32</v>
      </c>
      <c r="G97" s="5" t="s">
        <v>91</v>
      </c>
      <c r="H97" s="5"/>
      <c r="I97" s="8">
        <f t="shared" si="1"/>
        <v>8</v>
      </c>
      <c r="J97" s="8">
        <f t="shared" si="2"/>
        <v>2024</v>
      </c>
      <c r="K97" s="8" t="str">
        <f t="shared" si="3"/>
        <v>2024 - 8</v>
      </c>
    </row>
    <row r="98" outlineLevel="1">
      <c r="A98" s="2">
        <v>97.0</v>
      </c>
      <c r="B98" s="3">
        <v>45531.0</v>
      </c>
      <c r="C98" s="5" t="s">
        <v>18</v>
      </c>
      <c r="D98" s="5" t="s">
        <v>20</v>
      </c>
      <c r="E98" s="6">
        <v>-357.0</v>
      </c>
      <c r="F98" s="7">
        <f t="shared" si="4"/>
        <v>57352.32</v>
      </c>
      <c r="G98" s="5" t="s">
        <v>92</v>
      </c>
      <c r="H98" s="5"/>
      <c r="I98" s="8">
        <f t="shared" si="1"/>
        <v>8</v>
      </c>
      <c r="J98" s="8">
        <f t="shared" si="2"/>
        <v>2024</v>
      </c>
      <c r="K98" s="8" t="str">
        <f t="shared" si="3"/>
        <v>2024 - 8</v>
      </c>
    </row>
    <row r="99" outlineLevel="1">
      <c r="A99" s="2">
        <v>98.0</v>
      </c>
      <c r="B99" s="3">
        <v>45531.0</v>
      </c>
      <c r="C99" s="5" t="s">
        <v>18</v>
      </c>
      <c r="D99" s="5" t="s">
        <v>20</v>
      </c>
      <c r="E99" s="6">
        <v>-60.0</v>
      </c>
      <c r="F99" s="7">
        <f t="shared" si="4"/>
        <v>57292.32</v>
      </c>
      <c r="G99" s="5" t="s">
        <v>91</v>
      </c>
      <c r="H99" s="5"/>
      <c r="I99" s="8">
        <f t="shared" si="1"/>
        <v>8</v>
      </c>
      <c r="J99" s="8">
        <f t="shared" si="2"/>
        <v>2024</v>
      </c>
      <c r="K99" s="8" t="str">
        <f t="shared" si="3"/>
        <v>2024 - 8</v>
      </c>
    </row>
    <row r="100" outlineLevel="1">
      <c r="A100" s="2">
        <v>99.0</v>
      </c>
      <c r="B100" s="3">
        <v>45532.0</v>
      </c>
      <c r="C100" s="5" t="s">
        <v>31</v>
      </c>
      <c r="D100" s="5" t="s">
        <v>20</v>
      </c>
      <c r="E100" s="6">
        <v>-179.0</v>
      </c>
      <c r="F100" s="7">
        <f t="shared" si="4"/>
        <v>57113.32</v>
      </c>
      <c r="G100" s="5" t="s">
        <v>32</v>
      </c>
      <c r="H100" s="5"/>
      <c r="I100" s="8">
        <f t="shared" si="1"/>
        <v>8</v>
      </c>
      <c r="J100" s="8">
        <f t="shared" si="2"/>
        <v>2024</v>
      </c>
      <c r="K100" s="8" t="str">
        <f t="shared" si="3"/>
        <v>2024 - 8</v>
      </c>
    </row>
    <row r="101" outlineLevel="1">
      <c r="A101" s="2">
        <v>100.0</v>
      </c>
      <c r="B101" s="3">
        <v>45532.0</v>
      </c>
      <c r="C101" s="5" t="s">
        <v>16</v>
      </c>
      <c r="D101" s="5" t="s">
        <v>20</v>
      </c>
      <c r="E101" s="6">
        <v>-1022.0</v>
      </c>
      <c r="F101" s="7">
        <f t="shared" si="4"/>
        <v>56091.32</v>
      </c>
      <c r="G101" s="5" t="s">
        <v>27</v>
      </c>
      <c r="H101" s="5"/>
      <c r="I101" s="8">
        <f t="shared" si="1"/>
        <v>8</v>
      </c>
      <c r="J101" s="8">
        <f t="shared" si="2"/>
        <v>2024</v>
      </c>
      <c r="K101" s="8" t="str">
        <f t="shared" si="3"/>
        <v>2024 - 8</v>
      </c>
    </row>
    <row r="102" outlineLevel="1">
      <c r="A102" s="2">
        <v>101.0</v>
      </c>
      <c r="B102" s="3">
        <v>45532.0</v>
      </c>
      <c r="C102" s="5" t="s">
        <v>18</v>
      </c>
      <c r="D102" s="5" t="s">
        <v>20</v>
      </c>
      <c r="E102" s="6">
        <v>-564.63</v>
      </c>
      <c r="F102" s="7">
        <f t="shared" si="4"/>
        <v>55526.69</v>
      </c>
      <c r="G102" s="5" t="s">
        <v>34</v>
      </c>
      <c r="H102" s="5"/>
      <c r="I102" s="8">
        <f t="shared" si="1"/>
        <v>8</v>
      </c>
      <c r="J102" s="8">
        <f t="shared" si="2"/>
        <v>2024</v>
      </c>
      <c r="K102" s="8" t="str">
        <f t="shared" si="3"/>
        <v>2024 - 8</v>
      </c>
    </row>
    <row r="103" outlineLevel="1">
      <c r="A103" s="2">
        <v>102.0</v>
      </c>
      <c r="B103" s="3">
        <v>45533.0</v>
      </c>
      <c r="C103" s="5" t="s">
        <v>9</v>
      </c>
      <c r="D103" s="5" t="s">
        <v>13</v>
      </c>
      <c r="E103" s="6">
        <v>-200.0</v>
      </c>
      <c r="F103" s="7">
        <f t="shared" si="4"/>
        <v>55326.69</v>
      </c>
      <c r="G103" s="5"/>
      <c r="H103" s="5"/>
      <c r="I103" s="8">
        <f t="shared" si="1"/>
        <v>8</v>
      </c>
      <c r="J103" s="8">
        <f t="shared" si="2"/>
        <v>2024</v>
      </c>
      <c r="K103" s="8" t="str">
        <f t="shared" si="3"/>
        <v>2024 - 8</v>
      </c>
    </row>
    <row r="104" outlineLevel="1">
      <c r="A104" s="2">
        <v>103.0</v>
      </c>
      <c r="B104" s="3">
        <v>45533.0</v>
      </c>
      <c r="C104" s="5" t="s">
        <v>18</v>
      </c>
      <c r="D104" s="5" t="s">
        <v>20</v>
      </c>
      <c r="E104" s="6">
        <v>-2331.0</v>
      </c>
      <c r="F104" s="7">
        <f t="shared" si="4"/>
        <v>52995.69</v>
      </c>
      <c r="G104" s="5" t="s">
        <v>93</v>
      </c>
      <c r="H104" s="5"/>
      <c r="I104" s="8">
        <f t="shared" si="1"/>
        <v>8</v>
      </c>
      <c r="J104" s="8">
        <f t="shared" si="2"/>
        <v>2024</v>
      </c>
      <c r="K104" s="8" t="str">
        <f t="shared" si="3"/>
        <v>2024 - 8</v>
      </c>
    </row>
    <row r="105" outlineLevel="1">
      <c r="A105" s="2">
        <v>104.0</v>
      </c>
      <c r="B105" s="3">
        <v>45534.0</v>
      </c>
      <c r="C105" s="5" t="s">
        <v>18</v>
      </c>
      <c r="D105" s="5" t="s">
        <v>20</v>
      </c>
      <c r="E105" s="6">
        <v>-200.0</v>
      </c>
      <c r="F105" s="7">
        <f t="shared" si="4"/>
        <v>52795.69</v>
      </c>
      <c r="G105" s="5" t="s">
        <v>94</v>
      </c>
      <c r="H105" s="5"/>
      <c r="I105" s="8">
        <f t="shared" si="1"/>
        <v>8</v>
      </c>
      <c r="J105" s="8">
        <f t="shared" si="2"/>
        <v>2024</v>
      </c>
      <c r="K105" s="8" t="str">
        <f t="shared" si="3"/>
        <v>2024 - 8</v>
      </c>
    </row>
    <row r="106" outlineLevel="1">
      <c r="A106" s="2">
        <v>105.0</v>
      </c>
      <c r="B106" s="3">
        <v>45534.0</v>
      </c>
      <c r="C106" s="5" t="s">
        <v>80</v>
      </c>
      <c r="D106" s="5" t="s">
        <v>10</v>
      </c>
      <c r="E106" s="6">
        <v>-1000.0</v>
      </c>
      <c r="F106" s="7">
        <f t="shared" si="4"/>
        <v>51795.69</v>
      </c>
      <c r="G106" s="5"/>
      <c r="H106" s="5"/>
      <c r="I106" s="8">
        <f t="shared" si="1"/>
        <v>8</v>
      </c>
      <c r="J106" s="8">
        <f t="shared" si="2"/>
        <v>2024</v>
      </c>
      <c r="K106" s="8" t="str">
        <f t="shared" si="3"/>
        <v>2024 - 8</v>
      </c>
    </row>
    <row r="107" outlineLevel="1">
      <c r="A107" s="2">
        <v>106.0</v>
      </c>
      <c r="B107" s="3">
        <v>45535.0</v>
      </c>
      <c r="C107" s="5" t="s">
        <v>16</v>
      </c>
      <c r="D107" s="5" t="s">
        <v>20</v>
      </c>
      <c r="E107" s="6">
        <v>-581.0</v>
      </c>
      <c r="F107" s="7">
        <f t="shared" si="4"/>
        <v>51214.69</v>
      </c>
      <c r="G107" s="5"/>
      <c r="H107" s="5"/>
      <c r="I107" s="8">
        <f t="shared" si="1"/>
        <v>8</v>
      </c>
      <c r="J107" s="8">
        <f t="shared" si="2"/>
        <v>2024</v>
      </c>
      <c r="K107" s="8" t="str">
        <f t="shared" si="3"/>
        <v>2024 - 8</v>
      </c>
    </row>
    <row r="108" outlineLevel="1">
      <c r="A108" s="2">
        <v>107.0</v>
      </c>
      <c r="B108" s="3">
        <v>45535.0</v>
      </c>
      <c r="C108" s="5" t="s">
        <v>31</v>
      </c>
      <c r="D108" s="5" t="s">
        <v>20</v>
      </c>
      <c r="E108" s="6">
        <v>-196.0</v>
      </c>
      <c r="F108" s="7">
        <f t="shared" si="4"/>
        <v>51018.69</v>
      </c>
      <c r="G108" s="5" t="s">
        <v>32</v>
      </c>
      <c r="H108" s="5"/>
      <c r="I108" s="8">
        <f t="shared" si="1"/>
        <v>8</v>
      </c>
      <c r="J108" s="8">
        <f t="shared" si="2"/>
        <v>2024</v>
      </c>
      <c r="K108" s="8" t="str">
        <f t="shared" si="3"/>
        <v>2024 - 8</v>
      </c>
    </row>
    <row r="109" outlineLevel="1">
      <c r="A109" s="2">
        <v>108.0</v>
      </c>
      <c r="B109" s="3">
        <v>45535.0</v>
      </c>
      <c r="C109" s="5" t="s">
        <v>31</v>
      </c>
      <c r="D109" s="5" t="s">
        <v>20</v>
      </c>
      <c r="E109" s="6">
        <v>-156.75</v>
      </c>
      <c r="F109" s="7">
        <f t="shared" si="4"/>
        <v>50861.94</v>
      </c>
      <c r="G109" s="5" t="s">
        <v>44</v>
      </c>
      <c r="H109" s="5"/>
      <c r="I109" s="8">
        <f t="shared" si="1"/>
        <v>8</v>
      </c>
      <c r="J109" s="8">
        <f t="shared" si="2"/>
        <v>2024</v>
      </c>
      <c r="K109" s="8" t="str">
        <f t="shared" si="3"/>
        <v>2024 - 8</v>
      </c>
    </row>
    <row r="110" outlineLevel="1">
      <c r="A110" s="2">
        <v>109.0</v>
      </c>
      <c r="B110" s="3">
        <v>45535.0</v>
      </c>
      <c r="C110" s="5" t="s">
        <v>18</v>
      </c>
      <c r="D110" s="5" t="s">
        <v>20</v>
      </c>
      <c r="E110" s="6">
        <v>-641.0</v>
      </c>
      <c r="F110" s="7">
        <f t="shared" si="4"/>
        <v>50220.94</v>
      </c>
      <c r="G110" s="5" t="s">
        <v>95</v>
      </c>
      <c r="H110" s="5"/>
      <c r="I110" s="8">
        <f t="shared" si="1"/>
        <v>8</v>
      </c>
      <c r="J110" s="8">
        <f t="shared" si="2"/>
        <v>2024</v>
      </c>
      <c r="K110" s="8" t="str">
        <f t="shared" si="3"/>
        <v>2024 - 8</v>
      </c>
    </row>
    <row r="111" outlineLevel="1">
      <c r="A111" s="2">
        <v>110.0</v>
      </c>
      <c r="B111" s="3">
        <v>45535.0</v>
      </c>
      <c r="C111" s="5" t="s">
        <v>16</v>
      </c>
      <c r="D111" s="5" t="s">
        <v>20</v>
      </c>
      <c r="E111" s="6">
        <v>-5101.0</v>
      </c>
      <c r="F111" s="7">
        <f t="shared" si="4"/>
        <v>45119.94</v>
      </c>
      <c r="G111" s="5" t="s">
        <v>96</v>
      </c>
      <c r="H111" s="5"/>
      <c r="I111" s="8">
        <f t="shared" si="1"/>
        <v>8</v>
      </c>
      <c r="J111" s="8">
        <f t="shared" si="2"/>
        <v>2024</v>
      </c>
      <c r="K111" s="8" t="str">
        <f t="shared" si="3"/>
        <v>2024 - 8</v>
      </c>
    </row>
    <row r="112" outlineLevel="1">
      <c r="A112" s="2">
        <v>111.0</v>
      </c>
      <c r="B112" s="3">
        <v>45535.0</v>
      </c>
      <c r="C112" s="5" t="s">
        <v>16</v>
      </c>
      <c r="D112" s="5" t="s">
        <v>20</v>
      </c>
      <c r="E112" s="6">
        <v>-1113.0</v>
      </c>
      <c r="F112" s="7">
        <f t="shared" si="4"/>
        <v>44006.94</v>
      </c>
      <c r="G112" s="5" t="s">
        <v>97</v>
      </c>
      <c r="H112" s="5"/>
      <c r="I112" s="8">
        <f t="shared" si="1"/>
        <v>8</v>
      </c>
      <c r="J112" s="8">
        <f t="shared" si="2"/>
        <v>2024</v>
      </c>
      <c r="K112" s="8" t="str">
        <f t="shared" si="3"/>
        <v>2024 - 8</v>
      </c>
    </row>
    <row r="113" outlineLevel="1">
      <c r="A113" s="2">
        <v>112.0</v>
      </c>
      <c r="B113" s="3">
        <v>45535.0</v>
      </c>
      <c r="C113" s="5" t="s">
        <v>16</v>
      </c>
      <c r="D113" s="5" t="s">
        <v>10</v>
      </c>
      <c r="E113" s="6">
        <v>-3550.0</v>
      </c>
      <c r="F113" s="7">
        <f t="shared" si="4"/>
        <v>40456.94</v>
      </c>
      <c r="G113" s="5" t="s">
        <v>98</v>
      </c>
      <c r="H113" s="5"/>
      <c r="I113" s="8">
        <f t="shared" si="1"/>
        <v>8</v>
      </c>
      <c r="J113" s="8">
        <f t="shared" si="2"/>
        <v>2024</v>
      </c>
      <c r="K113" s="8" t="str">
        <f t="shared" si="3"/>
        <v>2024 - 8</v>
      </c>
    </row>
    <row r="114" outlineLevel="1">
      <c r="A114" s="2">
        <v>113.0</v>
      </c>
      <c r="B114" s="3">
        <v>45535.0</v>
      </c>
      <c r="C114" s="5" t="s">
        <v>31</v>
      </c>
      <c r="D114" s="5" t="s">
        <v>20</v>
      </c>
      <c r="E114" s="6">
        <v>-171.0</v>
      </c>
      <c r="F114" s="7">
        <f t="shared" si="4"/>
        <v>40285.94</v>
      </c>
      <c r="G114" s="5" t="s">
        <v>44</v>
      </c>
      <c r="H114" s="5"/>
      <c r="I114" s="8">
        <f t="shared" si="1"/>
        <v>8</v>
      </c>
      <c r="J114" s="8">
        <f t="shared" si="2"/>
        <v>2024</v>
      </c>
      <c r="K114" s="8" t="str">
        <f t="shared" si="3"/>
        <v>2024 - 8</v>
      </c>
    </row>
    <row r="115" outlineLevel="1">
      <c r="A115" s="2">
        <v>114.0</v>
      </c>
      <c r="B115" s="3">
        <v>45535.0</v>
      </c>
      <c r="C115" s="5" t="s">
        <v>31</v>
      </c>
      <c r="D115" s="5" t="s">
        <v>20</v>
      </c>
      <c r="E115" s="6">
        <v>-172.0</v>
      </c>
      <c r="F115" s="7">
        <f t="shared" si="4"/>
        <v>40113.94</v>
      </c>
      <c r="G115" s="5" t="s">
        <v>32</v>
      </c>
      <c r="H115" s="5"/>
      <c r="I115" s="8">
        <f t="shared" si="1"/>
        <v>8</v>
      </c>
      <c r="J115" s="8">
        <f t="shared" si="2"/>
        <v>2024</v>
      </c>
      <c r="K115" s="8" t="str">
        <f t="shared" si="3"/>
        <v>2024 - 8</v>
      </c>
    </row>
    <row r="116">
      <c r="A116" s="13">
        <v>115.0</v>
      </c>
      <c r="B116" s="14">
        <v>45537.0</v>
      </c>
      <c r="C116" s="15" t="s">
        <v>31</v>
      </c>
      <c r="D116" s="15" t="s">
        <v>10</v>
      </c>
      <c r="E116" s="16">
        <v>-57.0</v>
      </c>
      <c r="F116" s="17">
        <f t="shared" si="4"/>
        <v>40056.94</v>
      </c>
      <c r="G116" s="15" t="s">
        <v>99</v>
      </c>
      <c r="H116" s="15"/>
      <c r="I116" s="18">
        <f t="shared" si="1"/>
        <v>9</v>
      </c>
      <c r="J116" s="18">
        <f t="shared" si="2"/>
        <v>2024</v>
      </c>
      <c r="K116" s="18" t="str">
        <f t="shared" si="3"/>
        <v>2024 - 9</v>
      </c>
    </row>
    <row r="117" outlineLevel="1">
      <c r="A117" s="2">
        <v>116.0</v>
      </c>
      <c r="B117" s="3">
        <v>45537.0</v>
      </c>
      <c r="C117" s="5" t="s">
        <v>9</v>
      </c>
      <c r="D117" s="5" t="s">
        <v>10</v>
      </c>
      <c r="E117" s="6">
        <v>-500.0</v>
      </c>
      <c r="F117" s="7">
        <f t="shared" si="4"/>
        <v>39556.94</v>
      </c>
      <c r="G117" s="5" t="s">
        <v>100</v>
      </c>
      <c r="H117" s="5"/>
      <c r="I117" s="8">
        <f t="shared" si="1"/>
        <v>9</v>
      </c>
      <c r="J117" s="8">
        <f t="shared" si="2"/>
        <v>2024</v>
      </c>
      <c r="K117" s="8" t="str">
        <f t="shared" si="3"/>
        <v>2024 - 9</v>
      </c>
    </row>
    <row r="118" outlineLevel="1">
      <c r="A118" s="2">
        <v>117.0</v>
      </c>
      <c r="B118" s="3">
        <v>45537.0</v>
      </c>
      <c r="C118" s="5" t="s">
        <v>101</v>
      </c>
      <c r="D118" s="5" t="s">
        <v>10</v>
      </c>
      <c r="E118" s="6">
        <v>109733.0</v>
      </c>
      <c r="F118" s="7">
        <f t="shared" si="4"/>
        <v>149289.94</v>
      </c>
      <c r="G118" s="5"/>
      <c r="H118" s="5"/>
      <c r="I118" s="8">
        <f t="shared" si="1"/>
        <v>9</v>
      </c>
      <c r="J118" s="8">
        <f t="shared" si="2"/>
        <v>2024</v>
      </c>
      <c r="K118" s="8" t="str">
        <f t="shared" si="3"/>
        <v>2024 - 9</v>
      </c>
    </row>
    <row r="119" outlineLevel="1">
      <c r="A119" s="2">
        <v>118.0</v>
      </c>
      <c r="B119" s="3">
        <v>45537.0</v>
      </c>
      <c r="C119" s="5" t="s">
        <v>31</v>
      </c>
      <c r="D119" s="5" t="s">
        <v>10</v>
      </c>
      <c r="E119" s="6">
        <v>-90.6</v>
      </c>
      <c r="F119" s="7">
        <f t="shared" si="4"/>
        <v>149199.34</v>
      </c>
      <c r="G119" s="5" t="s">
        <v>99</v>
      </c>
      <c r="H119" s="5"/>
      <c r="I119" s="8">
        <f t="shared" si="1"/>
        <v>9</v>
      </c>
      <c r="J119" s="8">
        <f t="shared" si="2"/>
        <v>2024</v>
      </c>
      <c r="K119" s="8" t="str">
        <f t="shared" si="3"/>
        <v>2024 - 9</v>
      </c>
    </row>
    <row r="120" outlineLevel="1">
      <c r="A120" s="2">
        <v>119.0</v>
      </c>
      <c r="B120" s="3">
        <v>45537.0</v>
      </c>
      <c r="C120" s="5" t="s">
        <v>18</v>
      </c>
      <c r="D120" s="5" t="s">
        <v>10</v>
      </c>
      <c r="E120" s="6">
        <v>-94.5</v>
      </c>
      <c r="F120" s="7">
        <f t="shared" si="4"/>
        <v>149104.84</v>
      </c>
      <c r="G120" s="5" t="s">
        <v>102</v>
      </c>
      <c r="H120" s="5"/>
      <c r="I120" s="8">
        <f t="shared" si="1"/>
        <v>9</v>
      </c>
      <c r="J120" s="8">
        <f t="shared" si="2"/>
        <v>2024</v>
      </c>
      <c r="K120" s="8" t="str">
        <f t="shared" si="3"/>
        <v>2024 - 9</v>
      </c>
    </row>
    <row r="121" outlineLevel="1">
      <c r="A121" s="2">
        <v>120.0</v>
      </c>
      <c r="B121" s="3">
        <v>45537.0</v>
      </c>
      <c r="C121" s="5" t="s">
        <v>31</v>
      </c>
      <c r="D121" s="5" t="s">
        <v>10</v>
      </c>
      <c r="E121" s="6">
        <v>-134.2</v>
      </c>
      <c r="F121" s="7">
        <f t="shared" si="4"/>
        <v>148970.64</v>
      </c>
      <c r="G121" s="5" t="s">
        <v>99</v>
      </c>
      <c r="H121" s="5"/>
      <c r="I121" s="8">
        <f t="shared" si="1"/>
        <v>9</v>
      </c>
      <c r="J121" s="8">
        <f t="shared" si="2"/>
        <v>2024</v>
      </c>
      <c r="K121" s="8" t="str">
        <f t="shared" si="3"/>
        <v>2024 - 9</v>
      </c>
    </row>
    <row r="122" outlineLevel="1">
      <c r="A122" s="2">
        <v>121.0</v>
      </c>
      <c r="B122" s="3">
        <v>45537.0</v>
      </c>
      <c r="C122" s="5" t="s">
        <v>31</v>
      </c>
      <c r="D122" s="5" t="s">
        <v>10</v>
      </c>
      <c r="E122" s="6">
        <v>-84.84</v>
      </c>
      <c r="F122" s="7">
        <f t="shared" si="4"/>
        <v>148885.8</v>
      </c>
      <c r="G122" s="5" t="s">
        <v>99</v>
      </c>
      <c r="H122" s="5"/>
      <c r="I122" s="8">
        <f t="shared" si="1"/>
        <v>9</v>
      </c>
      <c r="J122" s="8">
        <f t="shared" si="2"/>
        <v>2024</v>
      </c>
      <c r="K122" s="8" t="str">
        <f t="shared" si="3"/>
        <v>2024 - 9</v>
      </c>
    </row>
    <row r="123" outlineLevel="1">
      <c r="A123" s="2">
        <v>122.0</v>
      </c>
      <c r="B123" s="3">
        <v>45537.0</v>
      </c>
      <c r="C123" s="5" t="s">
        <v>18</v>
      </c>
      <c r="D123" s="5" t="s">
        <v>20</v>
      </c>
      <c r="E123" s="6">
        <v>-588.0</v>
      </c>
      <c r="F123" s="7">
        <f t="shared" si="4"/>
        <v>148297.8</v>
      </c>
      <c r="G123" s="5" t="s">
        <v>103</v>
      </c>
      <c r="H123" s="5"/>
      <c r="I123" s="8">
        <f t="shared" si="1"/>
        <v>9</v>
      </c>
      <c r="J123" s="8">
        <f t="shared" si="2"/>
        <v>2024</v>
      </c>
      <c r="K123" s="8" t="str">
        <f t="shared" si="3"/>
        <v>2024 - 9</v>
      </c>
    </row>
    <row r="124" outlineLevel="1">
      <c r="A124" s="2">
        <v>123.0</v>
      </c>
      <c r="B124" s="3">
        <v>45538.0</v>
      </c>
      <c r="C124" s="5" t="s">
        <v>22</v>
      </c>
      <c r="D124" s="5" t="s">
        <v>10</v>
      </c>
      <c r="E124" s="6">
        <v>-410.98</v>
      </c>
      <c r="F124" s="7">
        <f t="shared" si="4"/>
        <v>147886.82</v>
      </c>
      <c r="G124" s="5"/>
      <c r="H124" s="5"/>
      <c r="I124" s="8">
        <f t="shared" si="1"/>
        <v>9</v>
      </c>
      <c r="J124" s="8">
        <f t="shared" si="2"/>
        <v>2024</v>
      </c>
      <c r="K124" s="8" t="str">
        <f t="shared" si="3"/>
        <v>2024 - 9</v>
      </c>
    </row>
    <row r="125" outlineLevel="1">
      <c r="A125" s="2">
        <v>124.0</v>
      </c>
      <c r="B125" s="3">
        <v>45538.0</v>
      </c>
      <c r="C125" s="5" t="s">
        <v>18</v>
      </c>
      <c r="D125" s="5" t="s">
        <v>10</v>
      </c>
      <c r="E125" s="6">
        <v>-4111.0</v>
      </c>
      <c r="F125" s="7">
        <f t="shared" si="4"/>
        <v>143775.82</v>
      </c>
      <c r="G125" s="5" t="s">
        <v>104</v>
      </c>
      <c r="H125" s="5"/>
      <c r="I125" s="8">
        <f t="shared" si="1"/>
        <v>9</v>
      </c>
      <c r="J125" s="8">
        <f t="shared" si="2"/>
        <v>2024</v>
      </c>
      <c r="K125" s="8" t="str">
        <f t="shared" si="3"/>
        <v>2024 - 9</v>
      </c>
    </row>
    <row r="126" outlineLevel="1">
      <c r="A126" s="2">
        <v>125.0</v>
      </c>
      <c r="B126" s="3">
        <v>45540.0</v>
      </c>
      <c r="C126" s="5" t="s">
        <v>80</v>
      </c>
      <c r="D126" s="5" t="s">
        <v>10</v>
      </c>
      <c r="E126" s="6">
        <v>-1000.0</v>
      </c>
      <c r="F126" s="7">
        <f t="shared" si="4"/>
        <v>142775.82</v>
      </c>
      <c r="G126" s="5"/>
      <c r="H126" s="5"/>
      <c r="I126" s="8">
        <f t="shared" si="1"/>
        <v>9</v>
      </c>
      <c r="J126" s="8">
        <f t="shared" si="2"/>
        <v>2024</v>
      </c>
      <c r="K126" s="8" t="str">
        <f t="shared" si="3"/>
        <v>2024 - 9</v>
      </c>
    </row>
    <row r="127" outlineLevel="1">
      <c r="A127" s="2">
        <v>126.0</v>
      </c>
      <c r="B127" s="3">
        <v>45542.0</v>
      </c>
      <c r="C127" s="5" t="s">
        <v>105</v>
      </c>
      <c r="D127" s="5" t="s">
        <v>10</v>
      </c>
      <c r="E127" s="6">
        <v>1500.0</v>
      </c>
      <c r="F127" s="7">
        <f t="shared" si="4"/>
        <v>144275.82</v>
      </c>
      <c r="G127" s="5" t="s">
        <v>14</v>
      </c>
      <c r="H127" s="9" t="s">
        <v>15</v>
      </c>
      <c r="I127" s="8">
        <f t="shared" si="1"/>
        <v>9</v>
      </c>
      <c r="J127" s="8">
        <f t="shared" si="2"/>
        <v>2024</v>
      </c>
      <c r="K127" s="8" t="str">
        <f t="shared" si="3"/>
        <v>2024 - 9</v>
      </c>
    </row>
    <row r="128" outlineLevel="1">
      <c r="A128" s="2">
        <v>127.0</v>
      </c>
      <c r="B128" s="3">
        <v>45542.0</v>
      </c>
      <c r="C128" s="5" t="s">
        <v>9</v>
      </c>
      <c r="D128" s="5" t="s">
        <v>10</v>
      </c>
      <c r="E128" s="6">
        <v>-300.0</v>
      </c>
      <c r="F128" s="7">
        <f t="shared" si="4"/>
        <v>143975.82</v>
      </c>
      <c r="G128" s="5" t="s">
        <v>106</v>
      </c>
      <c r="H128" s="5"/>
      <c r="I128" s="8">
        <f t="shared" si="1"/>
        <v>9</v>
      </c>
      <c r="J128" s="8">
        <f t="shared" si="2"/>
        <v>2024</v>
      </c>
      <c r="K128" s="8" t="str">
        <f t="shared" si="3"/>
        <v>2024 - 9</v>
      </c>
    </row>
    <row r="129" outlineLevel="1">
      <c r="A129" s="2">
        <v>128.0</v>
      </c>
      <c r="B129" s="3">
        <v>45543.0</v>
      </c>
      <c r="C129" s="5" t="s">
        <v>9</v>
      </c>
      <c r="D129" s="5" t="s">
        <v>10</v>
      </c>
      <c r="E129" s="6">
        <v>-240.0</v>
      </c>
      <c r="F129" s="7">
        <f t="shared" si="4"/>
        <v>143735.82</v>
      </c>
      <c r="G129" s="5" t="s">
        <v>107</v>
      </c>
      <c r="H129" s="5"/>
      <c r="I129" s="8">
        <f t="shared" si="1"/>
        <v>9</v>
      </c>
      <c r="J129" s="8">
        <f t="shared" si="2"/>
        <v>2024</v>
      </c>
      <c r="K129" s="8" t="str">
        <f t="shared" si="3"/>
        <v>2024 - 9</v>
      </c>
    </row>
    <row r="130" outlineLevel="1">
      <c r="A130" s="2">
        <v>129.0</v>
      </c>
      <c r="B130" s="3">
        <v>45544.0</v>
      </c>
      <c r="C130" s="5" t="s">
        <v>16</v>
      </c>
      <c r="D130" s="5" t="s">
        <v>10</v>
      </c>
      <c r="E130" s="6">
        <v>-485.0</v>
      </c>
      <c r="F130" s="7">
        <f t="shared" si="4"/>
        <v>143250.82</v>
      </c>
      <c r="G130" s="5"/>
      <c r="H130" s="5"/>
      <c r="I130" s="8">
        <f t="shared" si="1"/>
        <v>9</v>
      </c>
      <c r="J130" s="8">
        <f t="shared" si="2"/>
        <v>2024</v>
      </c>
      <c r="K130" s="8" t="str">
        <f t="shared" si="3"/>
        <v>2024 - 9</v>
      </c>
    </row>
    <row r="131" outlineLevel="1">
      <c r="A131" s="2">
        <v>130.0</v>
      </c>
      <c r="B131" s="3">
        <v>45544.0</v>
      </c>
      <c r="C131" s="5" t="s">
        <v>16</v>
      </c>
      <c r="D131" s="5" t="s">
        <v>20</v>
      </c>
      <c r="E131" s="6">
        <v>-819.0</v>
      </c>
      <c r="F131" s="7">
        <f t="shared" si="4"/>
        <v>142431.82</v>
      </c>
      <c r="G131" s="5"/>
      <c r="H131" s="5"/>
      <c r="I131" s="8">
        <f t="shared" si="1"/>
        <v>9</v>
      </c>
      <c r="J131" s="8">
        <f t="shared" si="2"/>
        <v>2024</v>
      </c>
      <c r="K131" s="8" t="str">
        <f t="shared" si="3"/>
        <v>2024 - 9</v>
      </c>
    </row>
    <row r="132" outlineLevel="1">
      <c r="A132" s="2">
        <v>131.0</v>
      </c>
      <c r="B132" s="3">
        <v>45545.0</v>
      </c>
      <c r="C132" s="5" t="s">
        <v>22</v>
      </c>
      <c r="D132" s="5" t="s">
        <v>10</v>
      </c>
      <c r="E132" s="6">
        <v>-380.54</v>
      </c>
      <c r="F132" s="7">
        <f t="shared" si="4"/>
        <v>142051.28</v>
      </c>
      <c r="G132" s="5"/>
      <c r="H132" s="5"/>
      <c r="I132" s="8">
        <f t="shared" si="1"/>
        <v>9</v>
      </c>
      <c r="J132" s="8">
        <f t="shared" si="2"/>
        <v>2024</v>
      </c>
      <c r="K132" s="8" t="str">
        <f t="shared" si="3"/>
        <v>2024 - 9</v>
      </c>
    </row>
    <row r="133" outlineLevel="1">
      <c r="A133" s="2">
        <v>132.0</v>
      </c>
      <c r="B133" s="3">
        <v>45545.0</v>
      </c>
      <c r="C133" s="5" t="s">
        <v>80</v>
      </c>
      <c r="D133" s="5" t="s">
        <v>10</v>
      </c>
      <c r="E133" s="6">
        <v>-1000.0</v>
      </c>
      <c r="F133" s="7">
        <f t="shared" si="4"/>
        <v>141051.28</v>
      </c>
      <c r="G133" s="5"/>
      <c r="H133" s="5"/>
      <c r="I133" s="8">
        <f t="shared" si="1"/>
        <v>9</v>
      </c>
      <c r="J133" s="8">
        <f t="shared" si="2"/>
        <v>2024</v>
      </c>
      <c r="K133" s="8" t="str">
        <f t="shared" si="3"/>
        <v>2024 - 9</v>
      </c>
    </row>
    <row r="134" outlineLevel="1">
      <c r="A134" s="2">
        <v>133.0</v>
      </c>
      <c r="B134" s="3">
        <v>45546.0</v>
      </c>
      <c r="C134" s="5" t="s">
        <v>16</v>
      </c>
      <c r="D134" s="5" t="s">
        <v>13</v>
      </c>
      <c r="E134" s="6">
        <v>-1141.0</v>
      </c>
      <c r="F134" s="7">
        <f t="shared" si="4"/>
        <v>139910.28</v>
      </c>
      <c r="G134" s="5" t="s">
        <v>108</v>
      </c>
      <c r="H134" s="5"/>
      <c r="I134" s="8">
        <f t="shared" si="1"/>
        <v>9</v>
      </c>
      <c r="J134" s="8">
        <f t="shared" si="2"/>
        <v>2024</v>
      </c>
      <c r="K134" s="8" t="str">
        <f t="shared" si="3"/>
        <v>2024 - 9</v>
      </c>
    </row>
    <row r="135" outlineLevel="1">
      <c r="A135" s="2">
        <v>134.0</v>
      </c>
      <c r="B135" s="3">
        <v>45546.0</v>
      </c>
      <c r="C135" s="5" t="s">
        <v>18</v>
      </c>
      <c r="D135" s="5" t="s">
        <v>39</v>
      </c>
      <c r="E135" s="6">
        <v>-932.0</v>
      </c>
      <c r="F135" s="7">
        <f t="shared" si="4"/>
        <v>138978.28</v>
      </c>
      <c r="G135" s="5" t="s">
        <v>109</v>
      </c>
      <c r="H135" s="5"/>
      <c r="I135" s="8">
        <f t="shared" si="1"/>
        <v>9</v>
      </c>
      <c r="J135" s="8">
        <f t="shared" si="2"/>
        <v>2024</v>
      </c>
      <c r="K135" s="8" t="str">
        <f t="shared" si="3"/>
        <v>2024 - 9</v>
      </c>
    </row>
    <row r="136" outlineLevel="1">
      <c r="A136" s="2">
        <v>135.0</v>
      </c>
      <c r="B136" s="3">
        <v>45546.0</v>
      </c>
      <c r="C136" s="5" t="s">
        <v>49</v>
      </c>
      <c r="D136" s="5" t="s">
        <v>10</v>
      </c>
      <c r="E136" s="6">
        <v>-1719.65</v>
      </c>
      <c r="F136" s="7">
        <f t="shared" si="4"/>
        <v>137258.63</v>
      </c>
      <c r="G136" s="5" t="s">
        <v>110</v>
      </c>
      <c r="H136" s="5"/>
      <c r="I136" s="8">
        <f t="shared" si="1"/>
        <v>9</v>
      </c>
      <c r="J136" s="8">
        <f t="shared" si="2"/>
        <v>2024</v>
      </c>
      <c r="K136" s="8" t="str">
        <f t="shared" si="3"/>
        <v>2024 - 9</v>
      </c>
    </row>
    <row r="137" outlineLevel="1">
      <c r="A137" s="2">
        <v>136.0</v>
      </c>
      <c r="B137" s="3">
        <v>45549.0</v>
      </c>
      <c r="C137" s="5" t="s">
        <v>22</v>
      </c>
      <c r="D137" s="5" t="s">
        <v>10</v>
      </c>
      <c r="E137" s="6">
        <v>-361.0</v>
      </c>
      <c r="F137" s="7">
        <f t="shared" si="4"/>
        <v>136897.63</v>
      </c>
      <c r="G137" s="5"/>
      <c r="H137" s="5"/>
      <c r="I137" s="8">
        <f t="shared" si="1"/>
        <v>9</v>
      </c>
      <c r="J137" s="8">
        <f t="shared" si="2"/>
        <v>2024</v>
      </c>
      <c r="K137" s="8" t="str">
        <f t="shared" si="3"/>
        <v>2024 - 9</v>
      </c>
    </row>
    <row r="138" outlineLevel="1">
      <c r="A138" s="2">
        <v>137.0</v>
      </c>
      <c r="B138" s="3">
        <v>45549.0</v>
      </c>
      <c r="C138" s="5" t="s">
        <v>18</v>
      </c>
      <c r="D138" s="5" t="s">
        <v>10</v>
      </c>
      <c r="E138" s="6">
        <v>-20.0</v>
      </c>
      <c r="F138" s="7">
        <f t="shared" si="4"/>
        <v>136877.63</v>
      </c>
      <c r="G138" s="5" t="s">
        <v>111</v>
      </c>
      <c r="H138" s="5"/>
      <c r="I138" s="8">
        <f t="shared" si="1"/>
        <v>9</v>
      </c>
      <c r="J138" s="8">
        <f t="shared" si="2"/>
        <v>2024</v>
      </c>
      <c r="K138" s="8" t="str">
        <f t="shared" si="3"/>
        <v>2024 - 9</v>
      </c>
    </row>
    <row r="139" outlineLevel="1">
      <c r="A139" s="2">
        <v>138.0</v>
      </c>
      <c r="B139" s="3">
        <v>45549.0</v>
      </c>
      <c r="C139" s="5" t="s">
        <v>18</v>
      </c>
      <c r="D139" s="5" t="s">
        <v>39</v>
      </c>
      <c r="E139" s="6">
        <v>-415.8</v>
      </c>
      <c r="F139" s="7">
        <f t="shared" si="4"/>
        <v>136461.83</v>
      </c>
      <c r="G139" s="5"/>
      <c r="H139" s="5"/>
      <c r="I139" s="8">
        <f t="shared" si="1"/>
        <v>9</v>
      </c>
      <c r="J139" s="8">
        <f t="shared" si="2"/>
        <v>2024</v>
      </c>
      <c r="K139" s="8" t="str">
        <f t="shared" si="3"/>
        <v>2024 - 9</v>
      </c>
    </row>
    <row r="140" outlineLevel="1">
      <c r="A140" s="2">
        <v>139.0</v>
      </c>
      <c r="B140" s="3">
        <v>45549.0</v>
      </c>
      <c r="C140" s="5" t="s">
        <v>49</v>
      </c>
      <c r="D140" s="5" t="s">
        <v>39</v>
      </c>
      <c r="E140" s="6">
        <v>-649.0</v>
      </c>
      <c r="F140" s="7">
        <f t="shared" si="4"/>
        <v>135812.83</v>
      </c>
      <c r="G140" s="5"/>
      <c r="H140" s="5"/>
      <c r="I140" s="8">
        <f t="shared" si="1"/>
        <v>9</v>
      </c>
      <c r="J140" s="8">
        <f t="shared" si="2"/>
        <v>2024</v>
      </c>
      <c r="K140" s="8" t="str">
        <f t="shared" si="3"/>
        <v>2024 - 9</v>
      </c>
    </row>
    <row r="141" outlineLevel="1">
      <c r="A141" s="2">
        <v>140.0</v>
      </c>
      <c r="B141" s="3">
        <v>45550.0</v>
      </c>
      <c r="C141" s="5" t="s">
        <v>9</v>
      </c>
      <c r="D141" s="5" t="s">
        <v>10</v>
      </c>
      <c r="E141" s="6">
        <v>-59.0</v>
      </c>
      <c r="F141" s="7">
        <f t="shared" si="4"/>
        <v>135753.83</v>
      </c>
      <c r="G141" s="5"/>
      <c r="H141" s="5"/>
      <c r="I141" s="8">
        <f t="shared" si="1"/>
        <v>9</v>
      </c>
      <c r="J141" s="8">
        <f t="shared" si="2"/>
        <v>2024</v>
      </c>
      <c r="K141" s="8" t="str">
        <f t="shared" si="3"/>
        <v>2024 - 9</v>
      </c>
    </row>
    <row r="142" outlineLevel="1">
      <c r="A142" s="2">
        <v>141.0</v>
      </c>
      <c r="B142" s="3">
        <v>45551.0</v>
      </c>
      <c r="C142" s="5" t="s">
        <v>35</v>
      </c>
      <c r="D142" s="5" t="s">
        <v>20</v>
      </c>
      <c r="E142" s="6">
        <v>-50000.0</v>
      </c>
      <c r="F142" s="7">
        <f t="shared" si="4"/>
        <v>85753.83</v>
      </c>
      <c r="G142" s="5" t="s">
        <v>36</v>
      </c>
      <c r="H142" s="5"/>
      <c r="I142" s="8">
        <f t="shared" si="1"/>
        <v>9</v>
      </c>
      <c r="J142" s="8">
        <f t="shared" si="2"/>
        <v>2024</v>
      </c>
      <c r="K142" s="8" t="str">
        <f t="shared" si="3"/>
        <v>2024 - 9</v>
      </c>
    </row>
    <row r="143" outlineLevel="1">
      <c r="A143" s="2">
        <v>142.0</v>
      </c>
      <c r="B143" s="3">
        <v>45551.0</v>
      </c>
      <c r="C143" s="5" t="s">
        <v>9</v>
      </c>
      <c r="D143" s="5" t="s">
        <v>10</v>
      </c>
      <c r="E143" s="6">
        <v>-299.0</v>
      </c>
      <c r="F143" s="7">
        <f t="shared" si="4"/>
        <v>85454.83</v>
      </c>
      <c r="G143" s="5" t="s">
        <v>112</v>
      </c>
      <c r="H143" s="5"/>
      <c r="I143" s="8">
        <f t="shared" si="1"/>
        <v>9</v>
      </c>
      <c r="J143" s="8">
        <f t="shared" si="2"/>
        <v>2024</v>
      </c>
      <c r="K143" s="8" t="str">
        <f t="shared" si="3"/>
        <v>2024 - 9</v>
      </c>
    </row>
    <row r="144" outlineLevel="1">
      <c r="A144" s="2">
        <v>143.0</v>
      </c>
      <c r="B144" s="3">
        <v>45551.0</v>
      </c>
      <c r="C144" s="5" t="s">
        <v>22</v>
      </c>
      <c r="D144" s="5" t="s">
        <v>10</v>
      </c>
      <c r="E144" s="6">
        <v>-370.3</v>
      </c>
      <c r="F144" s="7">
        <f t="shared" si="4"/>
        <v>85084.53</v>
      </c>
      <c r="G144" s="5"/>
      <c r="H144" s="5"/>
      <c r="I144" s="8">
        <f t="shared" si="1"/>
        <v>9</v>
      </c>
      <c r="J144" s="8">
        <f t="shared" si="2"/>
        <v>2024</v>
      </c>
      <c r="K144" s="8" t="str">
        <f t="shared" si="3"/>
        <v>2024 - 9</v>
      </c>
    </row>
    <row r="145" outlineLevel="1">
      <c r="A145" s="2">
        <v>144.0</v>
      </c>
      <c r="B145" s="3">
        <v>45552.0</v>
      </c>
      <c r="C145" s="5" t="s">
        <v>35</v>
      </c>
      <c r="D145" s="5" t="s">
        <v>20</v>
      </c>
      <c r="E145" s="6">
        <v>-50000.0</v>
      </c>
      <c r="F145" s="7">
        <f t="shared" si="4"/>
        <v>35084.53</v>
      </c>
      <c r="G145" s="5" t="s">
        <v>36</v>
      </c>
      <c r="H145" s="5"/>
      <c r="I145" s="8">
        <f t="shared" si="1"/>
        <v>9</v>
      </c>
      <c r="J145" s="8">
        <f t="shared" si="2"/>
        <v>2024</v>
      </c>
      <c r="K145" s="8" t="str">
        <f t="shared" si="3"/>
        <v>2024 - 9</v>
      </c>
    </row>
    <row r="146" outlineLevel="1">
      <c r="A146" s="2">
        <v>145.0</v>
      </c>
      <c r="B146" s="3">
        <v>45553.0</v>
      </c>
      <c r="C146" s="5" t="s">
        <v>9</v>
      </c>
      <c r="D146" s="5" t="s">
        <v>10</v>
      </c>
      <c r="E146" s="6">
        <v>-490.0</v>
      </c>
      <c r="F146" s="7">
        <f t="shared" si="4"/>
        <v>34594.53</v>
      </c>
      <c r="G146" s="5" t="s">
        <v>113</v>
      </c>
      <c r="H146" s="5"/>
      <c r="I146" s="8">
        <f t="shared" si="1"/>
        <v>9</v>
      </c>
      <c r="J146" s="8">
        <f t="shared" si="2"/>
        <v>2024</v>
      </c>
      <c r="K146" s="8" t="str">
        <f t="shared" si="3"/>
        <v>2024 - 9</v>
      </c>
    </row>
    <row r="147" outlineLevel="1">
      <c r="A147" s="2">
        <v>146.0</v>
      </c>
      <c r="B147" s="3">
        <v>45554.0</v>
      </c>
      <c r="C147" s="5" t="s">
        <v>18</v>
      </c>
      <c r="D147" s="5" t="s">
        <v>39</v>
      </c>
      <c r="E147" s="6">
        <v>-321.24</v>
      </c>
      <c r="F147" s="7">
        <f t="shared" si="4"/>
        <v>34273.29</v>
      </c>
      <c r="G147" s="5"/>
      <c r="H147" s="5"/>
      <c r="I147" s="8">
        <f t="shared" si="1"/>
        <v>9</v>
      </c>
      <c r="J147" s="8">
        <f t="shared" si="2"/>
        <v>2024</v>
      </c>
      <c r="K147" s="8" t="str">
        <f t="shared" si="3"/>
        <v>2024 - 9</v>
      </c>
    </row>
    <row r="148" outlineLevel="1">
      <c r="A148" s="2">
        <v>147.0</v>
      </c>
      <c r="B148" s="3">
        <v>45554.0</v>
      </c>
      <c r="C148" s="5" t="s">
        <v>38</v>
      </c>
      <c r="D148" s="5" t="s">
        <v>39</v>
      </c>
      <c r="E148" s="6">
        <v>-1141.6</v>
      </c>
      <c r="F148" s="7">
        <f t="shared" si="4"/>
        <v>33131.69</v>
      </c>
      <c r="G148" s="5" t="s">
        <v>114</v>
      </c>
      <c r="H148" s="5"/>
      <c r="I148" s="8">
        <f t="shared" si="1"/>
        <v>9</v>
      </c>
      <c r="J148" s="8">
        <f t="shared" si="2"/>
        <v>2024</v>
      </c>
      <c r="K148" s="8" t="str">
        <f t="shared" si="3"/>
        <v>2024 - 9</v>
      </c>
    </row>
    <row r="149" outlineLevel="1">
      <c r="A149" s="2">
        <v>148.0</v>
      </c>
      <c r="B149" s="3">
        <v>45554.0</v>
      </c>
      <c r="C149" s="5" t="s">
        <v>24</v>
      </c>
      <c r="D149" s="5" t="s">
        <v>10</v>
      </c>
      <c r="E149" s="6">
        <v>500.0</v>
      </c>
      <c r="F149" s="7">
        <f t="shared" si="4"/>
        <v>33631.69</v>
      </c>
      <c r="G149" s="5" t="s">
        <v>114</v>
      </c>
      <c r="H149" s="5"/>
      <c r="I149" s="8">
        <f t="shared" si="1"/>
        <v>9</v>
      </c>
      <c r="J149" s="8">
        <f t="shared" si="2"/>
        <v>2024</v>
      </c>
      <c r="K149" s="8" t="str">
        <f t="shared" si="3"/>
        <v>2024 - 9</v>
      </c>
    </row>
    <row r="150" outlineLevel="1">
      <c r="A150" s="2">
        <v>149.0</v>
      </c>
      <c r="B150" s="3">
        <v>45555.0</v>
      </c>
      <c r="C150" s="5" t="s">
        <v>9</v>
      </c>
      <c r="D150" s="5" t="s">
        <v>10</v>
      </c>
      <c r="E150" s="6">
        <v>-10.0</v>
      </c>
      <c r="F150" s="7">
        <f t="shared" si="4"/>
        <v>33621.69</v>
      </c>
      <c r="G150" s="5"/>
      <c r="H150" s="5"/>
      <c r="I150" s="8">
        <f t="shared" si="1"/>
        <v>9</v>
      </c>
      <c r="J150" s="8">
        <f t="shared" si="2"/>
        <v>2024</v>
      </c>
      <c r="K150" s="8" t="str">
        <f t="shared" si="3"/>
        <v>2024 - 9</v>
      </c>
    </row>
    <row r="151" outlineLevel="1">
      <c r="A151" s="2">
        <v>150.0</v>
      </c>
      <c r="B151" s="3">
        <v>45555.0</v>
      </c>
      <c r="C151" s="5" t="s">
        <v>31</v>
      </c>
      <c r="D151" s="5" t="s">
        <v>10</v>
      </c>
      <c r="E151" s="6">
        <v>-421.0</v>
      </c>
      <c r="F151" s="7">
        <f t="shared" si="4"/>
        <v>33200.69</v>
      </c>
      <c r="G151" s="5" t="s">
        <v>32</v>
      </c>
      <c r="H151" s="5"/>
      <c r="I151" s="8">
        <f t="shared" si="1"/>
        <v>9</v>
      </c>
      <c r="J151" s="8">
        <f t="shared" si="2"/>
        <v>2024</v>
      </c>
      <c r="K151" s="8" t="str">
        <f t="shared" si="3"/>
        <v>2024 - 9</v>
      </c>
    </row>
    <row r="152" outlineLevel="1">
      <c r="A152" s="2">
        <v>151.0</v>
      </c>
      <c r="B152" s="3">
        <v>45555.0</v>
      </c>
      <c r="C152" s="5" t="s">
        <v>18</v>
      </c>
      <c r="D152" s="5" t="s">
        <v>39</v>
      </c>
      <c r="E152" s="6">
        <v>-2782.08</v>
      </c>
      <c r="F152" s="7">
        <f t="shared" si="4"/>
        <v>30418.61</v>
      </c>
      <c r="G152" s="5" t="s">
        <v>115</v>
      </c>
      <c r="H152" s="5"/>
      <c r="I152" s="8">
        <f t="shared" si="1"/>
        <v>9</v>
      </c>
      <c r="J152" s="8">
        <f t="shared" si="2"/>
        <v>2024</v>
      </c>
      <c r="K152" s="8" t="str">
        <f t="shared" si="3"/>
        <v>2024 - 9</v>
      </c>
    </row>
    <row r="153" outlineLevel="1">
      <c r="A153" s="2">
        <v>152.0</v>
      </c>
      <c r="B153" s="3">
        <v>45556.0</v>
      </c>
      <c r="C153" s="5" t="s">
        <v>18</v>
      </c>
      <c r="D153" s="5" t="s">
        <v>39</v>
      </c>
      <c r="E153" s="6">
        <v>-441.0</v>
      </c>
      <c r="F153" s="7">
        <f t="shared" si="4"/>
        <v>29977.61</v>
      </c>
      <c r="G153" s="5" t="s">
        <v>116</v>
      </c>
      <c r="H153" s="5"/>
      <c r="I153" s="8">
        <f t="shared" si="1"/>
        <v>9</v>
      </c>
      <c r="J153" s="8">
        <f t="shared" si="2"/>
        <v>2024</v>
      </c>
      <c r="K153" s="8" t="str">
        <f t="shared" si="3"/>
        <v>2024 - 9</v>
      </c>
    </row>
    <row r="154" outlineLevel="1">
      <c r="A154" s="2">
        <v>153.0</v>
      </c>
      <c r="B154" s="3">
        <v>45556.0</v>
      </c>
      <c r="C154" s="5" t="s">
        <v>18</v>
      </c>
      <c r="D154" s="5" t="s">
        <v>10</v>
      </c>
      <c r="E154" s="6">
        <v>-50.99</v>
      </c>
      <c r="F154" s="7">
        <f t="shared" si="4"/>
        <v>29926.62</v>
      </c>
      <c r="G154" s="5" t="s">
        <v>95</v>
      </c>
      <c r="H154" s="5"/>
      <c r="I154" s="8">
        <f t="shared" si="1"/>
        <v>9</v>
      </c>
      <c r="J154" s="8">
        <f t="shared" si="2"/>
        <v>2024</v>
      </c>
      <c r="K154" s="8" t="str">
        <f t="shared" si="3"/>
        <v>2024 - 9</v>
      </c>
    </row>
    <row r="155" outlineLevel="1">
      <c r="A155" s="2">
        <v>154.0</v>
      </c>
      <c r="B155" s="3">
        <v>45557.0</v>
      </c>
      <c r="C155" s="5" t="s">
        <v>18</v>
      </c>
      <c r="D155" s="5" t="s">
        <v>10</v>
      </c>
      <c r="E155" s="6">
        <v>-198.0</v>
      </c>
      <c r="F155" s="7">
        <f t="shared" si="4"/>
        <v>29728.62</v>
      </c>
      <c r="G155" s="5" t="s">
        <v>117</v>
      </c>
      <c r="H155" s="5"/>
      <c r="I155" s="8">
        <f t="shared" si="1"/>
        <v>9</v>
      </c>
      <c r="J155" s="8">
        <f t="shared" si="2"/>
        <v>2024</v>
      </c>
      <c r="K155" s="8" t="str">
        <f t="shared" si="3"/>
        <v>2024 - 9</v>
      </c>
    </row>
    <row r="156" outlineLevel="1">
      <c r="A156" s="2">
        <v>155.0</v>
      </c>
      <c r="B156" s="3">
        <v>45558.0</v>
      </c>
      <c r="C156" s="5" t="s">
        <v>9</v>
      </c>
      <c r="D156" s="5" t="s">
        <v>10</v>
      </c>
      <c r="E156" s="6">
        <v>-150.0</v>
      </c>
      <c r="F156" s="7">
        <f t="shared" si="4"/>
        <v>29578.62</v>
      </c>
      <c r="G156" s="5" t="s">
        <v>55</v>
      </c>
      <c r="H156" s="5"/>
      <c r="I156" s="8">
        <f t="shared" si="1"/>
        <v>9</v>
      </c>
      <c r="J156" s="8">
        <f t="shared" si="2"/>
        <v>2024</v>
      </c>
      <c r="K156" s="8" t="str">
        <f t="shared" si="3"/>
        <v>2024 - 9</v>
      </c>
    </row>
    <row r="157" outlineLevel="1">
      <c r="A157" s="2">
        <v>156.0</v>
      </c>
      <c r="B157" s="3">
        <v>45558.0</v>
      </c>
      <c r="C157" s="5" t="s">
        <v>31</v>
      </c>
      <c r="D157" s="5" t="s">
        <v>10</v>
      </c>
      <c r="E157" s="6">
        <v>-354.53</v>
      </c>
      <c r="F157" s="7">
        <f t="shared" si="4"/>
        <v>29224.09</v>
      </c>
      <c r="G157" s="5" t="s">
        <v>99</v>
      </c>
      <c r="H157" s="5"/>
      <c r="I157" s="8">
        <f t="shared" si="1"/>
        <v>9</v>
      </c>
      <c r="J157" s="8">
        <f t="shared" si="2"/>
        <v>2024</v>
      </c>
      <c r="K157" s="8" t="str">
        <f t="shared" si="3"/>
        <v>2024 - 9</v>
      </c>
    </row>
    <row r="158" outlineLevel="1">
      <c r="A158" s="2">
        <v>157.0</v>
      </c>
      <c r="B158" s="3">
        <v>45559.0</v>
      </c>
      <c r="C158" s="5" t="s">
        <v>24</v>
      </c>
      <c r="D158" s="5" t="s">
        <v>10</v>
      </c>
      <c r="E158" s="6">
        <v>165.0</v>
      </c>
      <c r="F158" s="7">
        <f t="shared" si="4"/>
        <v>29389.09</v>
      </c>
      <c r="G158" s="5" t="s">
        <v>72</v>
      </c>
      <c r="H158" s="5"/>
      <c r="I158" s="8">
        <f t="shared" si="1"/>
        <v>9</v>
      </c>
      <c r="J158" s="8">
        <f t="shared" si="2"/>
        <v>2024</v>
      </c>
      <c r="K158" s="8" t="str">
        <f t="shared" si="3"/>
        <v>2024 - 9</v>
      </c>
    </row>
    <row r="159" outlineLevel="1">
      <c r="A159" s="2">
        <v>158.0</v>
      </c>
      <c r="B159" s="3">
        <v>45560.0</v>
      </c>
      <c r="C159" s="5" t="s">
        <v>49</v>
      </c>
      <c r="D159" s="5" t="s">
        <v>39</v>
      </c>
      <c r="E159" s="6">
        <v>-179.0</v>
      </c>
      <c r="F159" s="7">
        <f t="shared" si="4"/>
        <v>29210.09</v>
      </c>
      <c r="G159" s="5" t="s">
        <v>118</v>
      </c>
      <c r="H159" s="5"/>
      <c r="I159" s="8">
        <f t="shared" si="1"/>
        <v>9</v>
      </c>
      <c r="J159" s="8">
        <f t="shared" si="2"/>
        <v>2024</v>
      </c>
      <c r="K159" s="8" t="str">
        <f t="shared" si="3"/>
        <v>2024 - 9</v>
      </c>
    </row>
    <row r="160" outlineLevel="1">
      <c r="A160" s="2">
        <v>159.0</v>
      </c>
      <c r="B160" s="3">
        <v>45560.0</v>
      </c>
      <c r="C160" s="5" t="s">
        <v>22</v>
      </c>
      <c r="D160" s="5" t="s">
        <v>10</v>
      </c>
      <c r="E160" s="6">
        <v>-356.88</v>
      </c>
      <c r="F160" s="7">
        <f t="shared" si="4"/>
        <v>28853.21</v>
      </c>
      <c r="G160" s="5"/>
      <c r="H160" s="5"/>
      <c r="I160" s="8">
        <f t="shared" si="1"/>
        <v>9</v>
      </c>
      <c r="J160" s="8">
        <f t="shared" si="2"/>
        <v>2024</v>
      </c>
      <c r="K160" s="8" t="str">
        <f t="shared" si="3"/>
        <v>2024 - 9</v>
      </c>
    </row>
    <row r="161" outlineLevel="1">
      <c r="A161" s="2">
        <v>160.0</v>
      </c>
      <c r="B161" s="3">
        <v>45561.0</v>
      </c>
      <c r="C161" s="5" t="s">
        <v>49</v>
      </c>
      <c r="D161" s="5" t="s">
        <v>10</v>
      </c>
      <c r="E161" s="6">
        <v>-126.64</v>
      </c>
      <c r="F161" s="7">
        <f t="shared" si="4"/>
        <v>28726.57</v>
      </c>
      <c r="G161" s="5" t="s">
        <v>118</v>
      </c>
      <c r="H161" s="5"/>
      <c r="I161" s="8">
        <f t="shared" si="1"/>
        <v>9</v>
      </c>
      <c r="J161" s="8">
        <f t="shared" si="2"/>
        <v>2024</v>
      </c>
      <c r="K161" s="8" t="str">
        <f t="shared" si="3"/>
        <v>2024 - 9</v>
      </c>
    </row>
    <row r="162" outlineLevel="1">
      <c r="A162" s="2">
        <v>161.0</v>
      </c>
      <c r="B162" s="3">
        <v>45561.0</v>
      </c>
      <c r="C162" s="5" t="s">
        <v>24</v>
      </c>
      <c r="D162" s="5" t="s">
        <v>10</v>
      </c>
      <c r="E162" s="6">
        <v>165.0</v>
      </c>
      <c r="F162" s="7">
        <f t="shared" si="4"/>
        <v>28891.57</v>
      </c>
      <c r="G162" s="5" t="s">
        <v>69</v>
      </c>
      <c r="H162" s="5"/>
      <c r="I162" s="8">
        <f t="shared" si="1"/>
        <v>9</v>
      </c>
      <c r="J162" s="8">
        <f t="shared" si="2"/>
        <v>2024</v>
      </c>
      <c r="K162" s="8" t="str">
        <f t="shared" si="3"/>
        <v>2024 - 9</v>
      </c>
    </row>
    <row r="163" outlineLevel="1">
      <c r="A163" s="2">
        <v>162.0</v>
      </c>
      <c r="B163" s="3">
        <v>45561.0</v>
      </c>
      <c r="C163" s="5" t="s">
        <v>24</v>
      </c>
      <c r="D163" s="5" t="s">
        <v>10</v>
      </c>
      <c r="E163" s="6">
        <v>700.0</v>
      </c>
      <c r="F163" s="7">
        <f t="shared" si="4"/>
        <v>29591.57</v>
      </c>
      <c r="G163" s="5" t="s">
        <v>119</v>
      </c>
      <c r="H163" s="5"/>
      <c r="I163" s="8">
        <f t="shared" si="1"/>
        <v>9</v>
      </c>
      <c r="J163" s="8">
        <f t="shared" si="2"/>
        <v>2024</v>
      </c>
      <c r="K163" s="8" t="str">
        <f t="shared" si="3"/>
        <v>2024 - 9</v>
      </c>
    </row>
    <row r="164" outlineLevel="1">
      <c r="A164" s="2">
        <v>163.0</v>
      </c>
      <c r="B164" s="3">
        <v>45561.0</v>
      </c>
      <c r="C164" s="5" t="s">
        <v>24</v>
      </c>
      <c r="D164" s="5" t="s">
        <v>10</v>
      </c>
      <c r="E164" s="6">
        <v>2782.08</v>
      </c>
      <c r="F164" s="7">
        <f t="shared" si="4"/>
        <v>32373.65</v>
      </c>
      <c r="G164" s="5" t="s">
        <v>120</v>
      </c>
      <c r="H164" s="5"/>
      <c r="I164" s="8">
        <f t="shared" si="1"/>
        <v>9</v>
      </c>
      <c r="J164" s="8">
        <f t="shared" si="2"/>
        <v>2024</v>
      </c>
      <c r="K164" s="8" t="str">
        <f t="shared" si="3"/>
        <v>2024 - 9</v>
      </c>
    </row>
    <row r="165" outlineLevel="1">
      <c r="A165" s="2">
        <v>164.0</v>
      </c>
      <c r="B165" s="3">
        <v>45563.0</v>
      </c>
      <c r="C165" s="5" t="s">
        <v>18</v>
      </c>
      <c r="D165" s="5" t="s">
        <v>39</v>
      </c>
      <c r="E165" s="6">
        <v>-1650.73</v>
      </c>
      <c r="F165" s="7">
        <f t="shared" si="4"/>
        <v>30722.92</v>
      </c>
      <c r="G165" s="5" t="s">
        <v>117</v>
      </c>
      <c r="H165" s="5"/>
      <c r="I165" s="8">
        <f t="shared" si="1"/>
        <v>9</v>
      </c>
      <c r="J165" s="8">
        <f t="shared" si="2"/>
        <v>2024</v>
      </c>
      <c r="K165" s="8" t="str">
        <f t="shared" si="3"/>
        <v>2024 - 9</v>
      </c>
    </row>
    <row r="166" outlineLevel="1">
      <c r="A166" s="2">
        <v>165.0</v>
      </c>
      <c r="B166" s="3">
        <v>45565.0</v>
      </c>
      <c r="C166" s="5" t="s">
        <v>16</v>
      </c>
      <c r="D166" s="5" t="s">
        <v>10</v>
      </c>
      <c r="E166" s="6">
        <v>-1063.0</v>
      </c>
      <c r="F166" s="7">
        <f t="shared" si="4"/>
        <v>29659.92</v>
      </c>
      <c r="G166" s="5"/>
      <c r="H166" s="5"/>
      <c r="I166" s="8">
        <f t="shared" si="1"/>
        <v>9</v>
      </c>
      <c r="J166" s="8">
        <f t="shared" si="2"/>
        <v>2024</v>
      </c>
      <c r="K166" s="8" t="str">
        <f t="shared" si="3"/>
        <v>2024 - 9</v>
      </c>
    </row>
    <row r="167" outlineLevel="1">
      <c r="A167" s="2">
        <v>166.0</v>
      </c>
      <c r="B167" s="3">
        <v>45565.0</v>
      </c>
      <c r="C167" s="5" t="s">
        <v>18</v>
      </c>
      <c r="D167" s="5" t="s">
        <v>10</v>
      </c>
      <c r="E167" s="6">
        <v>622.67</v>
      </c>
      <c r="F167" s="7">
        <f t="shared" si="4"/>
        <v>30282.59</v>
      </c>
      <c r="G167" s="5" t="s">
        <v>121</v>
      </c>
      <c r="H167" s="5"/>
      <c r="I167" s="8">
        <f t="shared" si="1"/>
        <v>9</v>
      </c>
      <c r="J167" s="8">
        <f t="shared" si="2"/>
        <v>2024</v>
      </c>
      <c r="K167" s="8" t="str">
        <f t="shared" si="3"/>
        <v>2024 - 9</v>
      </c>
    </row>
    <row r="168" outlineLevel="1">
      <c r="A168" s="2">
        <v>167.0</v>
      </c>
      <c r="B168" s="3">
        <v>45565.0</v>
      </c>
      <c r="C168" s="5" t="s">
        <v>9</v>
      </c>
      <c r="D168" s="5" t="s">
        <v>10</v>
      </c>
      <c r="E168" s="6">
        <v>567.0</v>
      </c>
      <c r="F168" s="7">
        <f t="shared" si="4"/>
        <v>30849.59</v>
      </c>
      <c r="G168" s="5"/>
      <c r="H168" s="5"/>
      <c r="I168" s="8">
        <f t="shared" si="1"/>
        <v>9</v>
      </c>
      <c r="J168" s="8">
        <f t="shared" si="2"/>
        <v>2024</v>
      </c>
      <c r="K168" s="8" t="str">
        <f t="shared" si="3"/>
        <v>2024 - 9</v>
      </c>
    </row>
    <row r="169" collapsed="1">
      <c r="A169" s="13">
        <v>168.0</v>
      </c>
      <c r="B169" s="14">
        <v>45566.0</v>
      </c>
      <c r="C169" s="15" t="s">
        <v>80</v>
      </c>
      <c r="D169" s="15" t="s">
        <v>10</v>
      </c>
      <c r="E169" s="16">
        <v>-1100.0</v>
      </c>
      <c r="F169" s="17">
        <f t="shared" si="4"/>
        <v>29749.59</v>
      </c>
      <c r="G169" s="15"/>
      <c r="H169" s="15"/>
      <c r="I169" s="18">
        <f t="shared" si="1"/>
        <v>10</v>
      </c>
      <c r="J169" s="18">
        <f t="shared" si="2"/>
        <v>2024</v>
      </c>
      <c r="K169" s="18" t="str">
        <f t="shared" si="3"/>
        <v>2024 - 10</v>
      </c>
    </row>
    <row r="170" hidden="1" outlineLevel="1">
      <c r="A170" s="2">
        <v>169.0</v>
      </c>
      <c r="B170" s="3">
        <v>45566.0</v>
      </c>
      <c r="C170" s="5" t="s">
        <v>80</v>
      </c>
      <c r="D170" s="5" t="s">
        <v>10</v>
      </c>
      <c r="E170" s="6">
        <v>-1000.0</v>
      </c>
      <c r="F170" s="7">
        <f t="shared" si="4"/>
        <v>28749.59</v>
      </c>
      <c r="G170" s="5"/>
      <c r="H170" s="5"/>
      <c r="I170" s="8">
        <f t="shared" si="1"/>
        <v>10</v>
      </c>
      <c r="J170" s="8">
        <f t="shared" si="2"/>
        <v>2024</v>
      </c>
      <c r="K170" s="8" t="str">
        <f t="shared" si="3"/>
        <v>2024 - 10</v>
      </c>
    </row>
    <row r="171" hidden="1" outlineLevel="1">
      <c r="A171" s="2">
        <v>170.0</v>
      </c>
      <c r="B171" s="3">
        <v>45567.0</v>
      </c>
      <c r="C171" s="5" t="s">
        <v>31</v>
      </c>
      <c r="D171" s="5" t="s">
        <v>10</v>
      </c>
      <c r="E171" s="6">
        <v>-20659.0</v>
      </c>
      <c r="F171" s="7">
        <f t="shared" si="4"/>
        <v>8090.59</v>
      </c>
      <c r="G171" s="5" t="s">
        <v>122</v>
      </c>
      <c r="H171" s="5"/>
      <c r="I171" s="8">
        <f t="shared" si="1"/>
        <v>10</v>
      </c>
      <c r="J171" s="8">
        <f t="shared" si="2"/>
        <v>2024</v>
      </c>
      <c r="K171" s="8" t="str">
        <f t="shared" si="3"/>
        <v>2024 - 10</v>
      </c>
    </row>
    <row r="172" hidden="1" outlineLevel="1">
      <c r="A172" s="2">
        <v>171.0</v>
      </c>
      <c r="B172" s="3">
        <v>45568.0</v>
      </c>
      <c r="C172" s="5" t="s">
        <v>101</v>
      </c>
      <c r="D172" s="5" t="s">
        <v>10</v>
      </c>
      <c r="E172" s="6">
        <v>79533.0</v>
      </c>
      <c r="F172" s="7">
        <f t="shared" si="4"/>
        <v>87623.59</v>
      </c>
      <c r="G172" s="5"/>
      <c r="H172" s="5"/>
      <c r="I172" s="8">
        <f t="shared" si="1"/>
        <v>10</v>
      </c>
      <c r="J172" s="8">
        <f t="shared" si="2"/>
        <v>2024</v>
      </c>
      <c r="K172" s="8" t="str">
        <f t="shared" si="3"/>
        <v>2024 - 10</v>
      </c>
    </row>
    <row r="173" hidden="1" outlineLevel="1">
      <c r="A173" s="2">
        <v>172.0</v>
      </c>
      <c r="B173" s="3">
        <v>45568.0</v>
      </c>
      <c r="C173" s="5" t="s">
        <v>22</v>
      </c>
      <c r="D173" s="5" t="s">
        <v>10</v>
      </c>
      <c r="E173" s="6">
        <v>-321.95</v>
      </c>
      <c r="F173" s="7">
        <f t="shared" si="4"/>
        <v>87301.64</v>
      </c>
      <c r="G173" s="5"/>
      <c r="H173" s="5"/>
      <c r="I173" s="8">
        <f t="shared" si="1"/>
        <v>10</v>
      </c>
      <c r="J173" s="8">
        <f t="shared" si="2"/>
        <v>2024</v>
      </c>
      <c r="K173" s="8" t="str">
        <f t="shared" si="3"/>
        <v>2024 - 10</v>
      </c>
    </row>
    <row r="174" hidden="1" outlineLevel="1">
      <c r="A174" s="2">
        <v>173.0</v>
      </c>
      <c r="B174" s="3">
        <v>45571.0</v>
      </c>
      <c r="C174" s="5" t="s">
        <v>16</v>
      </c>
      <c r="D174" s="5" t="s">
        <v>10</v>
      </c>
      <c r="E174" s="6">
        <v>-4495.0</v>
      </c>
      <c r="F174" s="7">
        <f t="shared" si="4"/>
        <v>82806.64</v>
      </c>
      <c r="G174" s="5" t="s">
        <v>123</v>
      </c>
      <c r="H174" s="5"/>
      <c r="I174" s="8">
        <f t="shared" si="1"/>
        <v>10</v>
      </c>
      <c r="J174" s="8">
        <f t="shared" si="2"/>
        <v>2024</v>
      </c>
      <c r="K174" s="8" t="str">
        <f t="shared" si="3"/>
        <v>2024 - 10</v>
      </c>
    </row>
    <row r="175" hidden="1" outlineLevel="1">
      <c r="A175" s="2">
        <v>174.0</v>
      </c>
      <c r="B175" s="3">
        <v>45574.0</v>
      </c>
      <c r="C175" s="5" t="s">
        <v>16</v>
      </c>
      <c r="D175" s="5" t="s">
        <v>20</v>
      </c>
      <c r="E175" s="6">
        <v>-1293.39</v>
      </c>
      <c r="F175" s="7">
        <f t="shared" si="4"/>
        <v>81513.25</v>
      </c>
      <c r="G175" s="5"/>
      <c r="H175" s="5"/>
      <c r="I175" s="8">
        <f t="shared" si="1"/>
        <v>10</v>
      </c>
      <c r="J175" s="8">
        <f t="shared" si="2"/>
        <v>2024</v>
      </c>
      <c r="K175" s="8" t="str">
        <f t="shared" si="3"/>
        <v>2024 - 10</v>
      </c>
    </row>
    <row r="176" hidden="1" outlineLevel="1">
      <c r="A176" s="2">
        <v>175.0</v>
      </c>
      <c r="B176" s="3">
        <v>45574.0</v>
      </c>
      <c r="C176" s="5" t="s">
        <v>16</v>
      </c>
      <c r="D176" s="5" t="s">
        <v>20</v>
      </c>
      <c r="E176" s="6">
        <v>-580.0</v>
      </c>
      <c r="F176" s="7">
        <f t="shared" si="4"/>
        <v>80933.25</v>
      </c>
      <c r="G176" s="5"/>
      <c r="H176" s="5"/>
      <c r="I176" s="8">
        <f t="shared" si="1"/>
        <v>10</v>
      </c>
      <c r="J176" s="8">
        <f t="shared" si="2"/>
        <v>2024</v>
      </c>
      <c r="K176" s="8" t="str">
        <f t="shared" si="3"/>
        <v>2024 - 10</v>
      </c>
    </row>
    <row r="177" hidden="1" outlineLevel="1">
      <c r="A177" s="2">
        <v>176.0</v>
      </c>
      <c r="B177" s="3">
        <v>45575.0</v>
      </c>
      <c r="C177" s="5" t="s">
        <v>18</v>
      </c>
      <c r="D177" s="5" t="s">
        <v>10</v>
      </c>
      <c r="E177" s="6">
        <v>-448.0</v>
      </c>
      <c r="F177" s="7">
        <f t="shared" si="4"/>
        <v>80485.25</v>
      </c>
      <c r="G177" s="5"/>
      <c r="H177" s="5"/>
      <c r="I177" s="8">
        <f t="shared" si="1"/>
        <v>10</v>
      </c>
      <c r="J177" s="8">
        <f t="shared" si="2"/>
        <v>2024</v>
      </c>
      <c r="K177" s="8" t="str">
        <f t="shared" si="3"/>
        <v>2024 - 10</v>
      </c>
    </row>
    <row r="178" hidden="1" outlineLevel="1">
      <c r="A178" s="2">
        <v>177.0</v>
      </c>
      <c r="B178" s="3">
        <v>45576.0</v>
      </c>
      <c r="C178" s="5" t="s">
        <v>16</v>
      </c>
      <c r="D178" s="5" t="s">
        <v>10</v>
      </c>
      <c r="E178" s="6">
        <v>-1074.0</v>
      </c>
      <c r="F178" s="7">
        <f t="shared" si="4"/>
        <v>79411.25</v>
      </c>
      <c r="G178" s="5"/>
      <c r="H178" s="5"/>
      <c r="I178" s="8">
        <f t="shared" si="1"/>
        <v>10</v>
      </c>
      <c r="J178" s="8">
        <f t="shared" si="2"/>
        <v>2024</v>
      </c>
      <c r="K178" s="8" t="str">
        <f t="shared" si="3"/>
        <v>2024 - 10</v>
      </c>
    </row>
    <row r="179" hidden="1" outlineLevel="1">
      <c r="A179" s="2">
        <v>178.0</v>
      </c>
      <c r="B179" s="3">
        <v>45577.0</v>
      </c>
      <c r="C179" s="5" t="s">
        <v>18</v>
      </c>
      <c r="D179" s="5" t="s">
        <v>39</v>
      </c>
      <c r="E179" s="6">
        <v>-1590.0</v>
      </c>
      <c r="F179" s="7">
        <f t="shared" si="4"/>
        <v>77821.25</v>
      </c>
      <c r="G179" s="5" t="s">
        <v>124</v>
      </c>
      <c r="H179" s="5"/>
      <c r="I179" s="8">
        <f t="shared" si="1"/>
        <v>10</v>
      </c>
      <c r="J179" s="8">
        <f t="shared" si="2"/>
        <v>2024</v>
      </c>
      <c r="K179" s="8" t="str">
        <f t="shared" si="3"/>
        <v>2024 - 10</v>
      </c>
    </row>
    <row r="180" hidden="1" outlineLevel="1">
      <c r="A180" s="2">
        <v>179.0</v>
      </c>
      <c r="B180" s="3">
        <v>45577.0</v>
      </c>
      <c r="C180" s="5" t="s">
        <v>16</v>
      </c>
      <c r="D180" s="5" t="s">
        <v>10</v>
      </c>
      <c r="E180" s="6">
        <v>-6416.0</v>
      </c>
      <c r="F180" s="7">
        <f t="shared" si="4"/>
        <v>71405.25</v>
      </c>
      <c r="G180" s="5" t="s">
        <v>96</v>
      </c>
      <c r="H180" s="5"/>
      <c r="I180" s="8">
        <f t="shared" si="1"/>
        <v>10</v>
      </c>
      <c r="J180" s="8">
        <f t="shared" si="2"/>
        <v>2024</v>
      </c>
      <c r="K180" s="8" t="str">
        <f t="shared" si="3"/>
        <v>2024 - 10</v>
      </c>
    </row>
    <row r="181" hidden="1" outlineLevel="1">
      <c r="A181" s="2">
        <v>180.0</v>
      </c>
      <c r="B181" s="3">
        <v>45577.0</v>
      </c>
      <c r="C181" s="5" t="s">
        <v>16</v>
      </c>
      <c r="D181" s="5" t="s">
        <v>10</v>
      </c>
      <c r="E181" s="6">
        <v>-2699.0</v>
      </c>
      <c r="F181" s="7">
        <f t="shared" si="4"/>
        <v>68706.25</v>
      </c>
      <c r="G181" s="5" t="s">
        <v>96</v>
      </c>
      <c r="H181" s="5"/>
      <c r="I181" s="8">
        <f t="shared" si="1"/>
        <v>10</v>
      </c>
      <c r="J181" s="8">
        <f t="shared" si="2"/>
        <v>2024</v>
      </c>
      <c r="K181" s="8" t="str">
        <f t="shared" si="3"/>
        <v>2024 - 10</v>
      </c>
    </row>
    <row r="182" hidden="1" outlineLevel="1">
      <c r="A182" s="2">
        <v>181.0</v>
      </c>
      <c r="B182" s="3">
        <v>45577.0</v>
      </c>
      <c r="C182" s="5" t="s">
        <v>9</v>
      </c>
      <c r="D182" s="5" t="s">
        <v>10</v>
      </c>
      <c r="E182" s="6">
        <v>-80.0</v>
      </c>
      <c r="F182" s="7">
        <f t="shared" si="4"/>
        <v>68626.25</v>
      </c>
      <c r="G182" s="5" t="s">
        <v>125</v>
      </c>
      <c r="H182" s="5"/>
      <c r="I182" s="8">
        <f t="shared" si="1"/>
        <v>10</v>
      </c>
      <c r="J182" s="8">
        <f t="shared" si="2"/>
        <v>2024</v>
      </c>
      <c r="K182" s="8" t="str">
        <f t="shared" si="3"/>
        <v>2024 - 10</v>
      </c>
    </row>
    <row r="183" hidden="1" outlineLevel="1">
      <c r="A183" s="2">
        <v>182.0</v>
      </c>
      <c r="B183" s="3">
        <v>45577.0</v>
      </c>
      <c r="C183" s="5" t="s">
        <v>9</v>
      </c>
      <c r="D183" s="5" t="s">
        <v>20</v>
      </c>
      <c r="E183" s="6">
        <v>-250.0</v>
      </c>
      <c r="F183" s="7">
        <f t="shared" si="4"/>
        <v>68376.25</v>
      </c>
      <c r="G183" s="5" t="s">
        <v>126</v>
      </c>
      <c r="H183" s="5"/>
      <c r="I183" s="8">
        <f t="shared" si="1"/>
        <v>10</v>
      </c>
      <c r="J183" s="8">
        <f t="shared" si="2"/>
        <v>2024</v>
      </c>
      <c r="K183" s="8" t="str">
        <f t="shared" si="3"/>
        <v>2024 - 10</v>
      </c>
    </row>
    <row r="184" hidden="1" outlineLevel="1">
      <c r="A184" s="2">
        <v>183.0</v>
      </c>
      <c r="B184" s="3">
        <v>45577.0</v>
      </c>
      <c r="C184" s="5" t="s">
        <v>24</v>
      </c>
      <c r="D184" s="5" t="s">
        <v>10</v>
      </c>
      <c r="E184" s="6">
        <v>200.0</v>
      </c>
      <c r="F184" s="7">
        <f t="shared" si="4"/>
        <v>68576.25</v>
      </c>
      <c r="G184" s="5" t="s">
        <v>127</v>
      </c>
      <c r="H184" s="5"/>
      <c r="I184" s="8">
        <f t="shared" si="1"/>
        <v>10</v>
      </c>
      <c r="J184" s="8">
        <f t="shared" si="2"/>
        <v>2024</v>
      </c>
      <c r="K184" s="8" t="str">
        <f t="shared" si="3"/>
        <v>2024 - 10</v>
      </c>
    </row>
    <row r="185" hidden="1" outlineLevel="1">
      <c r="A185" s="2">
        <v>183.0</v>
      </c>
      <c r="B185" s="3">
        <v>45577.0</v>
      </c>
      <c r="C185" s="5" t="s">
        <v>24</v>
      </c>
      <c r="D185" s="5" t="s">
        <v>10</v>
      </c>
      <c r="E185" s="6">
        <v>739.0</v>
      </c>
      <c r="F185" s="7">
        <f t="shared" si="4"/>
        <v>69315.25</v>
      </c>
      <c r="G185" s="5" t="s">
        <v>127</v>
      </c>
      <c r="H185" s="5"/>
      <c r="I185" s="8">
        <f t="shared" si="1"/>
        <v>10</v>
      </c>
      <c r="J185" s="8">
        <f t="shared" si="2"/>
        <v>2024</v>
      </c>
      <c r="K185" s="8" t="str">
        <f t="shared" si="3"/>
        <v>2024 - 10</v>
      </c>
    </row>
    <row r="186" hidden="1" outlineLevel="1">
      <c r="A186" s="2">
        <v>184.0</v>
      </c>
      <c r="B186" s="3">
        <v>45579.0</v>
      </c>
      <c r="C186" s="5" t="s">
        <v>49</v>
      </c>
      <c r="D186" s="5" t="s">
        <v>10</v>
      </c>
      <c r="E186" s="6">
        <v>-1825.46</v>
      </c>
      <c r="F186" s="7">
        <f t="shared" si="4"/>
        <v>67489.79</v>
      </c>
      <c r="G186" s="5" t="s">
        <v>110</v>
      </c>
      <c r="H186" s="5"/>
      <c r="I186" s="8">
        <f t="shared" si="1"/>
        <v>10</v>
      </c>
      <c r="J186" s="8">
        <f t="shared" si="2"/>
        <v>2024</v>
      </c>
      <c r="K186" s="8" t="str">
        <f t="shared" si="3"/>
        <v>2024 - 10</v>
      </c>
    </row>
    <row r="187" hidden="1" outlineLevel="1">
      <c r="A187" s="2">
        <v>185.0</v>
      </c>
      <c r="B187" s="3">
        <v>45579.0</v>
      </c>
      <c r="C187" s="5" t="s">
        <v>12</v>
      </c>
      <c r="D187" s="5" t="s">
        <v>13</v>
      </c>
      <c r="E187" s="6">
        <v>-59.0</v>
      </c>
      <c r="F187" s="7">
        <f t="shared" si="4"/>
        <v>67430.79</v>
      </c>
      <c r="G187" s="5" t="s">
        <v>128</v>
      </c>
      <c r="H187" s="5"/>
      <c r="I187" s="8">
        <f t="shared" si="1"/>
        <v>10</v>
      </c>
      <c r="J187" s="8">
        <f t="shared" si="2"/>
        <v>2024</v>
      </c>
      <c r="K187" s="8" t="str">
        <f t="shared" si="3"/>
        <v>2024 - 10</v>
      </c>
    </row>
    <row r="188" hidden="1" outlineLevel="1">
      <c r="A188" s="2">
        <v>186.0</v>
      </c>
      <c r="B188" s="3">
        <v>45579.0</v>
      </c>
      <c r="C188" s="5" t="s">
        <v>105</v>
      </c>
      <c r="D188" s="5" t="s">
        <v>10</v>
      </c>
      <c r="E188" s="6">
        <v>60.0</v>
      </c>
      <c r="F188" s="7">
        <f t="shared" si="4"/>
        <v>67490.79</v>
      </c>
      <c r="G188" s="5" t="s">
        <v>128</v>
      </c>
      <c r="H188" s="5"/>
      <c r="I188" s="8">
        <f t="shared" si="1"/>
        <v>10</v>
      </c>
      <c r="J188" s="8">
        <f t="shared" si="2"/>
        <v>2024</v>
      </c>
      <c r="K188" s="8" t="str">
        <f t="shared" si="3"/>
        <v>2024 - 10</v>
      </c>
    </row>
    <row r="189" hidden="1" outlineLevel="1">
      <c r="A189" s="2">
        <v>187.0</v>
      </c>
      <c r="B189" s="3">
        <v>45580.0</v>
      </c>
      <c r="C189" s="5" t="s">
        <v>49</v>
      </c>
      <c r="D189" s="5" t="s">
        <v>20</v>
      </c>
      <c r="E189" s="6">
        <v>-649.0</v>
      </c>
      <c r="F189" s="7">
        <f t="shared" si="4"/>
        <v>66841.79</v>
      </c>
      <c r="G189" s="5" t="s">
        <v>50</v>
      </c>
      <c r="H189" s="5"/>
      <c r="I189" s="8">
        <f t="shared" si="1"/>
        <v>10</v>
      </c>
      <c r="J189" s="8">
        <f t="shared" si="2"/>
        <v>2024</v>
      </c>
      <c r="K189" s="8" t="str">
        <f t="shared" si="3"/>
        <v>2024 - 10</v>
      </c>
    </row>
    <row r="190" hidden="1" outlineLevel="1">
      <c r="A190" s="2">
        <v>188.0</v>
      </c>
      <c r="B190" s="3">
        <v>45580.0</v>
      </c>
      <c r="C190" s="5" t="s">
        <v>16</v>
      </c>
      <c r="D190" s="5" t="s">
        <v>10</v>
      </c>
      <c r="E190" s="6">
        <v>-190.0</v>
      </c>
      <c r="F190" s="7">
        <f t="shared" si="4"/>
        <v>66651.79</v>
      </c>
      <c r="G190" s="5" t="s">
        <v>129</v>
      </c>
      <c r="H190" s="5"/>
      <c r="I190" s="8">
        <f t="shared" si="1"/>
        <v>10</v>
      </c>
      <c r="J190" s="8">
        <f t="shared" si="2"/>
        <v>2024</v>
      </c>
      <c r="K190" s="8" t="str">
        <f t="shared" si="3"/>
        <v>2024 - 10</v>
      </c>
    </row>
    <row r="191" hidden="1" outlineLevel="1">
      <c r="A191" s="2">
        <v>188.0</v>
      </c>
      <c r="B191" s="3">
        <v>45584.0</v>
      </c>
      <c r="C191" s="5" t="s">
        <v>18</v>
      </c>
      <c r="D191" s="5" t="s">
        <v>10</v>
      </c>
      <c r="E191" s="6">
        <v>-146.0</v>
      </c>
      <c r="F191" s="7">
        <f t="shared" si="4"/>
        <v>66505.79</v>
      </c>
      <c r="G191" s="5" t="s">
        <v>130</v>
      </c>
      <c r="H191" s="5"/>
      <c r="I191" s="8">
        <f t="shared" si="1"/>
        <v>10</v>
      </c>
      <c r="J191" s="8">
        <f t="shared" si="2"/>
        <v>2024</v>
      </c>
      <c r="K191" s="8" t="str">
        <f t="shared" si="3"/>
        <v>2024 - 10</v>
      </c>
    </row>
    <row r="192" hidden="1" outlineLevel="1">
      <c r="A192" s="2">
        <v>189.0</v>
      </c>
      <c r="B192" s="3">
        <v>45584.0</v>
      </c>
      <c r="C192" s="5" t="s">
        <v>31</v>
      </c>
      <c r="D192" s="5" t="s">
        <v>10</v>
      </c>
      <c r="E192" s="6">
        <v>-60.0</v>
      </c>
      <c r="F192" s="7">
        <f t="shared" si="4"/>
        <v>66445.79</v>
      </c>
      <c r="G192" s="5" t="s">
        <v>44</v>
      </c>
      <c r="H192" s="5"/>
      <c r="I192" s="8">
        <f t="shared" si="1"/>
        <v>10</v>
      </c>
      <c r="J192" s="8">
        <f t="shared" si="2"/>
        <v>2024</v>
      </c>
      <c r="K192" s="8" t="str">
        <f t="shared" si="3"/>
        <v>2024 - 10</v>
      </c>
    </row>
    <row r="193" hidden="1" outlineLevel="1">
      <c r="A193" s="2">
        <v>190.0</v>
      </c>
      <c r="B193" s="3">
        <v>45584.0</v>
      </c>
      <c r="C193" s="5" t="s">
        <v>31</v>
      </c>
      <c r="D193" s="5" t="s">
        <v>10</v>
      </c>
      <c r="E193" s="6">
        <v>-30.0</v>
      </c>
      <c r="F193" s="7">
        <f t="shared" si="4"/>
        <v>66415.79</v>
      </c>
      <c r="G193" s="5" t="s">
        <v>44</v>
      </c>
      <c r="H193" s="5"/>
      <c r="I193" s="8">
        <f t="shared" si="1"/>
        <v>10</v>
      </c>
      <c r="J193" s="8">
        <f t="shared" si="2"/>
        <v>2024</v>
      </c>
      <c r="K193" s="8" t="str">
        <f t="shared" si="3"/>
        <v>2024 - 10</v>
      </c>
    </row>
    <row r="194" hidden="1" outlineLevel="1">
      <c r="A194" s="2">
        <v>191.0</v>
      </c>
      <c r="B194" s="3">
        <v>45584.0</v>
      </c>
      <c r="C194" s="5" t="s">
        <v>31</v>
      </c>
      <c r="D194" s="5" t="s">
        <v>10</v>
      </c>
      <c r="E194" s="6">
        <v>-70.0</v>
      </c>
      <c r="F194" s="7">
        <f t="shared" si="4"/>
        <v>66345.79</v>
      </c>
      <c r="G194" s="5" t="s">
        <v>32</v>
      </c>
      <c r="H194" s="5"/>
      <c r="I194" s="8">
        <f t="shared" si="1"/>
        <v>10</v>
      </c>
      <c r="J194" s="8">
        <f t="shared" si="2"/>
        <v>2024</v>
      </c>
      <c r="K194" s="8" t="str">
        <f t="shared" si="3"/>
        <v>2024 - 10</v>
      </c>
    </row>
    <row r="195" hidden="1" outlineLevel="1">
      <c r="A195" s="2">
        <v>191.0</v>
      </c>
      <c r="B195" s="3">
        <v>45584.0</v>
      </c>
      <c r="C195" s="5" t="s">
        <v>16</v>
      </c>
      <c r="D195" s="5" t="s">
        <v>20</v>
      </c>
      <c r="E195" s="6">
        <v>-3999.0</v>
      </c>
      <c r="F195" s="7">
        <f t="shared" si="4"/>
        <v>62346.79</v>
      </c>
      <c r="G195" s="5" t="s">
        <v>131</v>
      </c>
      <c r="H195" s="5"/>
      <c r="I195" s="8">
        <f t="shared" si="1"/>
        <v>10</v>
      </c>
      <c r="J195" s="8">
        <f t="shared" si="2"/>
        <v>2024</v>
      </c>
      <c r="K195" s="8" t="str">
        <f t="shared" si="3"/>
        <v>2024 - 10</v>
      </c>
    </row>
    <row r="196" hidden="1" outlineLevel="1">
      <c r="A196" s="2">
        <v>192.0</v>
      </c>
      <c r="B196" s="3">
        <v>45584.0</v>
      </c>
      <c r="C196" s="5" t="s">
        <v>38</v>
      </c>
      <c r="D196" s="5" t="s">
        <v>39</v>
      </c>
      <c r="E196" s="6">
        <v>-1212.84</v>
      </c>
      <c r="F196" s="7">
        <f t="shared" si="4"/>
        <v>61133.95</v>
      </c>
      <c r="G196" s="5" t="s">
        <v>114</v>
      </c>
      <c r="H196" s="5" t="s">
        <v>132</v>
      </c>
      <c r="I196" s="8">
        <f t="shared" si="1"/>
        <v>10</v>
      </c>
      <c r="J196" s="8">
        <f t="shared" si="2"/>
        <v>2024</v>
      </c>
      <c r="K196" s="8" t="str">
        <f t="shared" si="3"/>
        <v>2024 - 10</v>
      </c>
    </row>
    <row r="197" hidden="1" outlineLevel="1">
      <c r="A197" s="2">
        <v>193.0</v>
      </c>
      <c r="B197" s="3">
        <v>45584.0</v>
      </c>
      <c r="C197" s="5" t="s">
        <v>16</v>
      </c>
      <c r="D197" s="5" t="s">
        <v>10</v>
      </c>
      <c r="E197" s="6">
        <v>-999.0</v>
      </c>
      <c r="F197" s="7">
        <f t="shared" si="4"/>
        <v>60134.95</v>
      </c>
      <c r="G197" s="5" t="s">
        <v>133</v>
      </c>
      <c r="H197" s="5"/>
      <c r="I197" s="8">
        <f t="shared" si="1"/>
        <v>10</v>
      </c>
      <c r="J197" s="8">
        <f t="shared" si="2"/>
        <v>2024</v>
      </c>
      <c r="K197" s="8" t="str">
        <f t="shared" si="3"/>
        <v>2024 - 10</v>
      </c>
    </row>
    <row r="198" hidden="1" outlineLevel="1">
      <c r="A198" s="2">
        <v>194.0</v>
      </c>
      <c r="B198" s="3">
        <v>45584.0</v>
      </c>
      <c r="C198" s="5" t="s">
        <v>18</v>
      </c>
      <c r="D198" s="5" t="s">
        <v>20</v>
      </c>
      <c r="E198" s="6">
        <v>-424.0</v>
      </c>
      <c r="F198" s="7">
        <f t="shared" si="4"/>
        <v>59710.95</v>
      </c>
      <c r="G198" s="5" t="s">
        <v>134</v>
      </c>
      <c r="H198" s="5"/>
      <c r="I198" s="8">
        <f t="shared" si="1"/>
        <v>10</v>
      </c>
      <c r="J198" s="8">
        <f t="shared" si="2"/>
        <v>2024</v>
      </c>
      <c r="K198" s="8" t="str">
        <f t="shared" si="3"/>
        <v>2024 - 10</v>
      </c>
    </row>
    <row r="199" hidden="1" outlineLevel="1">
      <c r="A199" s="2">
        <v>195.0</v>
      </c>
      <c r="B199" s="3">
        <v>45585.0</v>
      </c>
      <c r="C199" s="5" t="s">
        <v>9</v>
      </c>
      <c r="D199" s="5" t="s">
        <v>20</v>
      </c>
      <c r="E199" s="6">
        <v>-100.0</v>
      </c>
      <c r="F199" s="7">
        <f t="shared" si="4"/>
        <v>59610.95</v>
      </c>
      <c r="G199" s="5" t="s">
        <v>125</v>
      </c>
      <c r="H199" s="5"/>
      <c r="I199" s="8">
        <f t="shared" si="1"/>
        <v>10</v>
      </c>
      <c r="J199" s="8">
        <f t="shared" si="2"/>
        <v>2024</v>
      </c>
      <c r="K199" s="8" t="str">
        <f t="shared" si="3"/>
        <v>2024 - 10</v>
      </c>
    </row>
    <row r="200" hidden="1" outlineLevel="1">
      <c r="A200" s="2">
        <v>196.0</v>
      </c>
      <c r="B200" s="3">
        <v>45585.0</v>
      </c>
      <c r="C200" s="5" t="s">
        <v>31</v>
      </c>
      <c r="D200" s="5" t="s">
        <v>10</v>
      </c>
      <c r="E200" s="6">
        <v>-225.0</v>
      </c>
      <c r="F200" s="7">
        <f t="shared" si="4"/>
        <v>59385.95</v>
      </c>
      <c r="G200" s="5" t="s">
        <v>99</v>
      </c>
      <c r="H200" s="5"/>
      <c r="I200" s="8">
        <f t="shared" si="1"/>
        <v>10</v>
      </c>
      <c r="J200" s="8">
        <f t="shared" si="2"/>
        <v>2024</v>
      </c>
      <c r="K200" s="8" t="str">
        <f t="shared" si="3"/>
        <v>2024 - 10</v>
      </c>
    </row>
    <row r="201" hidden="1" outlineLevel="1">
      <c r="A201" s="2">
        <v>197.0</v>
      </c>
      <c r="B201" s="3">
        <v>45585.0</v>
      </c>
      <c r="C201" s="5" t="s">
        <v>31</v>
      </c>
      <c r="D201" s="5" t="s">
        <v>10</v>
      </c>
      <c r="E201" s="6">
        <v>-63.0</v>
      </c>
      <c r="F201" s="7">
        <f t="shared" si="4"/>
        <v>59322.95</v>
      </c>
      <c r="G201" s="5" t="s">
        <v>135</v>
      </c>
      <c r="H201" s="5"/>
      <c r="I201" s="8">
        <f t="shared" si="1"/>
        <v>10</v>
      </c>
      <c r="J201" s="8">
        <f t="shared" si="2"/>
        <v>2024</v>
      </c>
      <c r="K201" s="8" t="str">
        <f t="shared" si="3"/>
        <v>2024 - 10</v>
      </c>
    </row>
    <row r="202" hidden="1" outlineLevel="1">
      <c r="A202" s="2">
        <v>198.0</v>
      </c>
      <c r="B202" s="3">
        <v>45585.0</v>
      </c>
      <c r="C202" s="5" t="s">
        <v>18</v>
      </c>
      <c r="D202" s="5" t="s">
        <v>39</v>
      </c>
      <c r="E202" s="6">
        <v>-894.0</v>
      </c>
      <c r="F202" s="7">
        <f t="shared" si="4"/>
        <v>58428.95</v>
      </c>
      <c r="G202" s="5" t="s">
        <v>34</v>
      </c>
      <c r="H202" s="5" t="s">
        <v>132</v>
      </c>
      <c r="I202" s="8">
        <f t="shared" si="1"/>
        <v>10</v>
      </c>
      <c r="J202" s="8">
        <f t="shared" si="2"/>
        <v>2024</v>
      </c>
      <c r="K202" s="8" t="str">
        <f t="shared" si="3"/>
        <v>2024 - 10</v>
      </c>
    </row>
    <row r="203" hidden="1" outlineLevel="1">
      <c r="A203" s="2">
        <v>199.0</v>
      </c>
      <c r="B203" s="3">
        <v>45585.0</v>
      </c>
      <c r="C203" s="5" t="s">
        <v>16</v>
      </c>
      <c r="D203" s="5" t="s">
        <v>136</v>
      </c>
      <c r="E203" s="6">
        <v>-10649.0</v>
      </c>
      <c r="F203" s="7">
        <f t="shared" si="4"/>
        <v>47779.95</v>
      </c>
      <c r="G203" s="5" t="s">
        <v>137</v>
      </c>
      <c r="H203" s="5" t="s">
        <v>138</v>
      </c>
      <c r="I203" s="8">
        <f t="shared" si="1"/>
        <v>10</v>
      </c>
      <c r="J203" s="8">
        <f t="shared" si="2"/>
        <v>2024</v>
      </c>
      <c r="K203" s="8" t="str">
        <f t="shared" si="3"/>
        <v>2024 - 10</v>
      </c>
    </row>
    <row r="204" hidden="1" outlineLevel="1">
      <c r="A204" s="2">
        <v>200.0</v>
      </c>
      <c r="B204" s="3">
        <v>45585.0</v>
      </c>
      <c r="C204" s="5" t="s">
        <v>31</v>
      </c>
      <c r="D204" s="5" t="s">
        <v>10</v>
      </c>
      <c r="E204" s="6">
        <v>-40.0</v>
      </c>
      <c r="F204" s="7">
        <f t="shared" si="4"/>
        <v>47739.95</v>
      </c>
      <c r="G204" s="5" t="s">
        <v>44</v>
      </c>
      <c r="H204" s="5"/>
      <c r="I204" s="8">
        <f t="shared" si="1"/>
        <v>10</v>
      </c>
      <c r="J204" s="8">
        <f t="shared" si="2"/>
        <v>2024</v>
      </c>
      <c r="K204" s="8" t="str">
        <f t="shared" si="3"/>
        <v>2024 - 10</v>
      </c>
    </row>
    <row r="205" hidden="1" outlineLevel="1">
      <c r="A205" s="2">
        <v>201.0</v>
      </c>
      <c r="B205" s="3">
        <v>45585.0</v>
      </c>
      <c r="C205" s="5" t="s">
        <v>31</v>
      </c>
      <c r="D205" s="5" t="s">
        <v>10</v>
      </c>
      <c r="E205" s="6">
        <v>-80.0</v>
      </c>
      <c r="F205" s="7">
        <f t="shared" si="4"/>
        <v>47659.95</v>
      </c>
      <c r="G205" s="5" t="s">
        <v>44</v>
      </c>
      <c r="H205" s="5"/>
      <c r="I205" s="8">
        <f t="shared" si="1"/>
        <v>10</v>
      </c>
      <c r="J205" s="8">
        <f t="shared" si="2"/>
        <v>2024</v>
      </c>
      <c r="K205" s="8" t="str">
        <f t="shared" si="3"/>
        <v>2024 - 10</v>
      </c>
    </row>
    <row r="206" hidden="1" outlineLevel="1">
      <c r="A206" s="2">
        <v>202.0</v>
      </c>
      <c r="B206" s="3">
        <v>45585.0</v>
      </c>
      <c r="C206" s="5" t="s">
        <v>18</v>
      </c>
      <c r="D206" s="5" t="s">
        <v>20</v>
      </c>
      <c r="E206" s="6">
        <v>-692.08</v>
      </c>
      <c r="F206" s="7">
        <f t="shared" si="4"/>
        <v>46967.87</v>
      </c>
      <c r="G206" s="5" t="s">
        <v>139</v>
      </c>
      <c r="H206" s="5"/>
      <c r="I206" s="8">
        <f t="shared" si="1"/>
        <v>10</v>
      </c>
      <c r="J206" s="8">
        <f t="shared" si="2"/>
        <v>2024</v>
      </c>
      <c r="K206" s="8" t="str">
        <f t="shared" si="3"/>
        <v>2024 - 10</v>
      </c>
    </row>
    <row r="207" hidden="1" outlineLevel="1">
      <c r="A207" s="2">
        <v>203.0</v>
      </c>
      <c r="B207" s="3">
        <v>45586.0</v>
      </c>
      <c r="C207" s="5" t="s">
        <v>31</v>
      </c>
      <c r="D207" s="5" t="s">
        <v>10</v>
      </c>
      <c r="E207" s="6">
        <v>-7897.0</v>
      </c>
      <c r="F207" s="7">
        <f t="shared" si="4"/>
        <v>39070.87</v>
      </c>
      <c r="G207" s="5" t="s">
        <v>122</v>
      </c>
      <c r="H207" s="5"/>
      <c r="I207" s="8">
        <f t="shared" si="1"/>
        <v>10</v>
      </c>
      <c r="J207" s="8">
        <f t="shared" si="2"/>
        <v>2024</v>
      </c>
      <c r="K207" s="8" t="str">
        <f t="shared" si="3"/>
        <v>2024 - 10</v>
      </c>
    </row>
    <row r="208" hidden="1" outlineLevel="1">
      <c r="A208" s="2">
        <v>204.0</v>
      </c>
      <c r="B208" s="3">
        <v>45587.0</v>
      </c>
      <c r="C208" s="5" t="s">
        <v>24</v>
      </c>
      <c r="D208" s="5" t="s">
        <v>10</v>
      </c>
      <c r="E208" s="6">
        <v>4610.0</v>
      </c>
      <c r="F208" s="7">
        <f t="shared" si="4"/>
        <v>43680.87</v>
      </c>
      <c r="G208" s="5" t="s">
        <v>72</v>
      </c>
      <c r="H208" s="5" t="s">
        <v>140</v>
      </c>
      <c r="I208" s="8">
        <f t="shared" si="1"/>
        <v>10</v>
      </c>
      <c r="J208" s="8">
        <f t="shared" si="2"/>
        <v>2024</v>
      </c>
      <c r="K208" s="8" t="str">
        <f t="shared" si="3"/>
        <v>2024 - 10</v>
      </c>
    </row>
    <row r="209" hidden="1" outlineLevel="1">
      <c r="A209" s="2">
        <v>205.0</v>
      </c>
      <c r="B209" s="3">
        <v>45587.0</v>
      </c>
      <c r="C209" s="5" t="s">
        <v>35</v>
      </c>
      <c r="D209" s="5" t="s">
        <v>10</v>
      </c>
      <c r="E209" s="6">
        <v>-25000.0</v>
      </c>
      <c r="F209" s="7">
        <f t="shared" si="4"/>
        <v>18680.87</v>
      </c>
      <c r="G209" s="5" t="s">
        <v>141</v>
      </c>
      <c r="H209" s="5"/>
      <c r="I209" s="8">
        <f t="shared" si="1"/>
        <v>10</v>
      </c>
      <c r="J209" s="8">
        <f t="shared" si="2"/>
        <v>2024</v>
      </c>
      <c r="K209" s="8" t="str">
        <f t="shared" si="3"/>
        <v>2024 - 10</v>
      </c>
    </row>
    <row r="210" hidden="1" outlineLevel="1">
      <c r="A210" s="2">
        <v>206.0</v>
      </c>
      <c r="B210" s="3">
        <v>45588.0</v>
      </c>
      <c r="C210" s="5" t="s">
        <v>24</v>
      </c>
      <c r="D210" s="5" t="s">
        <v>10</v>
      </c>
      <c r="E210" s="6">
        <v>863.53</v>
      </c>
      <c r="F210" s="7">
        <f t="shared" si="4"/>
        <v>19544.4</v>
      </c>
      <c r="G210" s="5" t="s">
        <v>69</v>
      </c>
      <c r="H210" s="5" t="s">
        <v>140</v>
      </c>
      <c r="I210" s="8">
        <f t="shared" si="1"/>
        <v>10</v>
      </c>
      <c r="J210" s="8">
        <f t="shared" si="2"/>
        <v>2024</v>
      </c>
      <c r="K210" s="8" t="str">
        <f t="shared" si="3"/>
        <v>2024 - 10</v>
      </c>
    </row>
    <row r="211" hidden="1" outlineLevel="1">
      <c r="A211" s="2">
        <v>207.0</v>
      </c>
      <c r="B211" s="3">
        <v>45591.0</v>
      </c>
      <c r="C211" s="5" t="s">
        <v>49</v>
      </c>
      <c r="D211" s="5" t="s">
        <v>10</v>
      </c>
      <c r="E211" s="6">
        <v>-299.0</v>
      </c>
      <c r="F211" s="7">
        <f t="shared" si="4"/>
        <v>19245.4</v>
      </c>
      <c r="G211" s="5" t="s">
        <v>142</v>
      </c>
      <c r="H211" s="5"/>
      <c r="I211" s="8">
        <f t="shared" si="1"/>
        <v>10</v>
      </c>
      <c r="J211" s="8">
        <f t="shared" si="2"/>
        <v>2024</v>
      </c>
      <c r="K211" s="8" t="str">
        <f t="shared" si="3"/>
        <v>2024 - 10</v>
      </c>
    </row>
    <row r="212" hidden="1" outlineLevel="1">
      <c r="A212" s="2">
        <v>208.0</v>
      </c>
      <c r="B212" s="3">
        <v>45591.0</v>
      </c>
      <c r="C212" s="5" t="s">
        <v>9</v>
      </c>
      <c r="D212" s="5" t="s">
        <v>10</v>
      </c>
      <c r="E212" s="6">
        <v>-50.0</v>
      </c>
      <c r="F212" s="7">
        <f t="shared" si="4"/>
        <v>19195.4</v>
      </c>
      <c r="G212" s="5"/>
      <c r="H212" s="5" t="s">
        <v>143</v>
      </c>
      <c r="I212" s="8">
        <f t="shared" si="1"/>
        <v>10</v>
      </c>
      <c r="J212" s="8">
        <f t="shared" si="2"/>
        <v>2024</v>
      </c>
      <c r="K212" s="8" t="str">
        <f t="shared" si="3"/>
        <v>2024 - 10</v>
      </c>
    </row>
    <row r="213" hidden="1" outlineLevel="1">
      <c r="A213" s="2">
        <v>209.0</v>
      </c>
      <c r="B213" s="3">
        <v>45591.0</v>
      </c>
      <c r="C213" s="5" t="s">
        <v>16</v>
      </c>
      <c r="D213" s="5" t="s">
        <v>39</v>
      </c>
      <c r="E213" s="6">
        <v>-2498.0</v>
      </c>
      <c r="F213" s="7">
        <f t="shared" si="4"/>
        <v>16697.4</v>
      </c>
      <c r="G213" s="5" t="s">
        <v>144</v>
      </c>
      <c r="H213" s="5" t="s">
        <v>143</v>
      </c>
      <c r="I213" s="8">
        <f t="shared" si="1"/>
        <v>10</v>
      </c>
      <c r="J213" s="8">
        <f t="shared" si="2"/>
        <v>2024</v>
      </c>
      <c r="K213" s="8" t="str">
        <f t="shared" si="3"/>
        <v>2024 - 10</v>
      </c>
    </row>
    <row r="214" hidden="1" outlineLevel="1">
      <c r="A214" s="2">
        <v>210.0</v>
      </c>
      <c r="B214" s="3">
        <v>45591.0</v>
      </c>
      <c r="C214" s="5" t="s">
        <v>16</v>
      </c>
      <c r="D214" s="5" t="s">
        <v>10</v>
      </c>
      <c r="E214" s="6">
        <v>-171.0</v>
      </c>
      <c r="F214" s="7">
        <f t="shared" si="4"/>
        <v>16526.4</v>
      </c>
      <c r="G214" s="5" t="s">
        <v>145</v>
      </c>
      <c r="H214" s="5" t="s">
        <v>143</v>
      </c>
      <c r="I214" s="8">
        <f t="shared" si="1"/>
        <v>10</v>
      </c>
      <c r="J214" s="8">
        <f t="shared" si="2"/>
        <v>2024</v>
      </c>
      <c r="K214" s="8" t="str">
        <f t="shared" si="3"/>
        <v>2024 - 10</v>
      </c>
    </row>
    <row r="215" hidden="1" outlineLevel="1">
      <c r="A215" s="2">
        <v>211.0</v>
      </c>
      <c r="B215" s="3">
        <v>45595.0</v>
      </c>
      <c r="C215" s="5" t="s">
        <v>9</v>
      </c>
      <c r="D215" s="5" t="s">
        <v>10</v>
      </c>
      <c r="E215" s="6">
        <v>-120.0</v>
      </c>
      <c r="F215" s="7">
        <f t="shared" si="4"/>
        <v>16406.4</v>
      </c>
      <c r="G215" s="5"/>
      <c r="H215" s="5" t="s">
        <v>143</v>
      </c>
      <c r="I215" s="8">
        <f t="shared" si="1"/>
        <v>10</v>
      </c>
      <c r="J215" s="8">
        <f t="shared" si="2"/>
        <v>2024</v>
      </c>
      <c r="K215" s="8" t="str">
        <f t="shared" si="3"/>
        <v>2024 - 10</v>
      </c>
    </row>
    <row r="216" hidden="1" outlineLevel="1">
      <c r="A216" s="2">
        <v>212.0</v>
      </c>
      <c r="B216" s="3">
        <v>45596.0</v>
      </c>
      <c r="C216" s="5" t="s">
        <v>16</v>
      </c>
      <c r="D216" s="5" t="s">
        <v>39</v>
      </c>
      <c r="E216" s="6">
        <v>-1300.0</v>
      </c>
      <c r="F216" s="7">
        <f t="shared" si="4"/>
        <v>15106.4</v>
      </c>
      <c r="G216" s="5" t="s">
        <v>146</v>
      </c>
      <c r="H216" s="5" t="s">
        <v>143</v>
      </c>
      <c r="I216" s="8">
        <f t="shared" si="1"/>
        <v>10</v>
      </c>
      <c r="J216" s="8">
        <f t="shared" si="2"/>
        <v>2024</v>
      </c>
      <c r="K216" s="8" t="str">
        <f t="shared" si="3"/>
        <v>2024 - 10</v>
      </c>
    </row>
    <row r="217" hidden="1" outlineLevel="1">
      <c r="A217" s="2">
        <v>213.0</v>
      </c>
      <c r="B217" s="3">
        <v>45596.0</v>
      </c>
      <c r="C217" s="5" t="s">
        <v>38</v>
      </c>
      <c r="D217" s="5" t="s">
        <v>147</v>
      </c>
      <c r="E217" s="6">
        <v>-15000.0</v>
      </c>
      <c r="F217" s="7">
        <f t="shared" si="4"/>
        <v>106.4</v>
      </c>
      <c r="G217" s="5" t="s">
        <v>148</v>
      </c>
      <c r="H217" s="5" t="s">
        <v>143</v>
      </c>
      <c r="I217" s="8">
        <f t="shared" si="1"/>
        <v>10</v>
      </c>
      <c r="J217" s="8">
        <f t="shared" si="2"/>
        <v>2024</v>
      </c>
      <c r="K217" s="8" t="str">
        <f t="shared" si="3"/>
        <v>2024 - 10</v>
      </c>
    </row>
    <row r="218" collapsed="1">
      <c r="A218" s="19">
        <v>214.0</v>
      </c>
      <c r="B218" s="20">
        <v>45599.0</v>
      </c>
      <c r="C218" s="21" t="s">
        <v>35</v>
      </c>
      <c r="D218" s="21" t="s">
        <v>10</v>
      </c>
      <c r="E218" s="22">
        <v>3000.0</v>
      </c>
      <c r="F218" s="23">
        <f t="shared" si="4"/>
        <v>3106.4</v>
      </c>
      <c r="G218" s="21" t="s">
        <v>27</v>
      </c>
      <c r="H218" s="21"/>
      <c r="I218" s="24">
        <f t="shared" si="1"/>
        <v>11</v>
      </c>
      <c r="J218" s="24">
        <f t="shared" si="2"/>
        <v>2024</v>
      </c>
      <c r="K218" s="24" t="str">
        <f t="shared" si="3"/>
        <v>2024 - 11</v>
      </c>
    </row>
    <row r="219" hidden="1" outlineLevel="1">
      <c r="A219" s="2">
        <v>215.0</v>
      </c>
      <c r="B219" s="3">
        <v>45599.0</v>
      </c>
      <c r="C219" s="5" t="s">
        <v>149</v>
      </c>
      <c r="D219" s="5" t="s">
        <v>147</v>
      </c>
      <c r="E219" s="6">
        <v>-2100.0</v>
      </c>
      <c r="F219" s="7">
        <f t="shared" si="4"/>
        <v>1006.4</v>
      </c>
      <c r="G219" s="5" t="s">
        <v>150</v>
      </c>
      <c r="H219" s="5"/>
      <c r="I219" s="8">
        <f t="shared" si="1"/>
        <v>11</v>
      </c>
      <c r="J219" s="8">
        <f t="shared" si="2"/>
        <v>2024</v>
      </c>
      <c r="K219" s="8" t="str">
        <f t="shared" si="3"/>
        <v>2024 - 11</v>
      </c>
    </row>
    <row r="220" hidden="1" outlineLevel="1">
      <c r="A220" s="2">
        <v>216.0</v>
      </c>
      <c r="B220" s="3">
        <v>45599.0</v>
      </c>
      <c r="C220" s="5" t="s">
        <v>24</v>
      </c>
      <c r="D220" s="5" t="s">
        <v>10</v>
      </c>
      <c r="E220" s="6">
        <v>500.0</v>
      </c>
      <c r="F220" s="7">
        <f t="shared" si="4"/>
        <v>1506.4</v>
      </c>
      <c r="G220" s="5" t="s">
        <v>151</v>
      </c>
      <c r="H220" s="5" t="s">
        <v>143</v>
      </c>
      <c r="I220" s="8">
        <f t="shared" si="1"/>
        <v>11</v>
      </c>
      <c r="J220" s="8">
        <f t="shared" si="2"/>
        <v>2024</v>
      </c>
      <c r="K220" s="8" t="str">
        <f t="shared" si="3"/>
        <v>2024 - 11</v>
      </c>
    </row>
    <row r="221" hidden="1" outlineLevel="1">
      <c r="A221" s="2">
        <v>217.0</v>
      </c>
      <c r="B221" s="3">
        <v>45600.0</v>
      </c>
      <c r="C221" s="5" t="s">
        <v>35</v>
      </c>
      <c r="D221" s="5" t="s">
        <v>10</v>
      </c>
      <c r="E221" s="6">
        <v>8000.0</v>
      </c>
      <c r="F221" s="7">
        <f t="shared" si="4"/>
        <v>9506.4</v>
      </c>
      <c r="G221" s="5" t="s">
        <v>36</v>
      </c>
      <c r="I221" s="8">
        <f t="shared" si="1"/>
        <v>11</v>
      </c>
      <c r="J221" s="8">
        <f t="shared" si="2"/>
        <v>2024</v>
      </c>
      <c r="K221" s="8" t="str">
        <f t="shared" si="3"/>
        <v>2024 - 11</v>
      </c>
    </row>
    <row r="222" hidden="1" outlineLevel="1">
      <c r="A222" s="2">
        <v>218.0</v>
      </c>
      <c r="B222" s="3">
        <v>45600.0</v>
      </c>
      <c r="C222" s="5" t="s">
        <v>101</v>
      </c>
      <c r="D222" s="5" t="s">
        <v>10</v>
      </c>
      <c r="E222" s="6">
        <v>79533.0</v>
      </c>
      <c r="F222" s="7">
        <f t="shared" si="4"/>
        <v>89039.4</v>
      </c>
      <c r="G222" s="5"/>
      <c r="H222" s="5"/>
      <c r="I222" s="8">
        <f t="shared" si="1"/>
        <v>11</v>
      </c>
      <c r="J222" s="8">
        <f t="shared" si="2"/>
        <v>2024</v>
      </c>
      <c r="K222" s="8" t="str">
        <f t="shared" si="3"/>
        <v>2024 - 11</v>
      </c>
    </row>
    <row r="223" hidden="1" outlineLevel="1">
      <c r="A223" s="2">
        <v>219.0</v>
      </c>
      <c r="B223" s="3">
        <v>45600.0</v>
      </c>
      <c r="C223" s="5" t="s">
        <v>38</v>
      </c>
      <c r="D223" s="5" t="s">
        <v>147</v>
      </c>
      <c r="E223" s="6">
        <v>-25000.0</v>
      </c>
      <c r="F223" s="7">
        <f t="shared" si="4"/>
        <v>64039.4</v>
      </c>
      <c r="G223" s="5" t="s">
        <v>148</v>
      </c>
      <c r="H223" s="5" t="s">
        <v>143</v>
      </c>
      <c r="I223" s="8">
        <f t="shared" si="1"/>
        <v>11</v>
      </c>
      <c r="J223" s="8">
        <f t="shared" si="2"/>
        <v>2024</v>
      </c>
      <c r="K223" s="8" t="str">
        <f t="shared" si="3"/>
        <v>2024 - 11</v>
      </c>
    </row>
    <row r="224" hidden="1" outlineLevel="1">
      <c r="A224" s="2">
        <v>220.0</v>
      </c>
      <c r="B224" s="3">
        <v>45600.0</v>
      </c>
      <c r="C224" s="5" t="s">
        <v>80</v>
      </c>
      <c r="D224" s="5" t="s">
        <v>10</v>
      </c>
      <c r="E224" s="6">
        <v>-1000.0</v>
      </c>
      <c r="F224" s="7">
        <f t="shared" si="4"/>
        <v>63039.4</v>
      </c>
      <c r="G224" s="5"/>
      <c r="H224" s="5"/>
      <c r="I224" s="8">
        <f t="shared" si="1"/>
        <v>11</v>
      </c>
      <c r="J224" s="8">
        <f t="shared" si="2"/>
        <v>2024</v>
      </c>
      <c r="K224" s="8" t="str">
        <f t="shared" si="3"/>
        <v>2024 - 11</v>
      </c>
    </row>
    <row r="225" hidden="1" outlineLevel="1">
      <c r="A225" s="2">
        <v>221.0</v>
      </c>
      <c r="B225" s="3">
        <v>45600.0</v>
      </c>
      <c r="C225" s="5" t="s">
        <v>80</v>
      </c>
      <c r="D225" s="5" t="s">
        <v>10</v>
      </c>
      <c r="E225" s="6">
        <v>-1100.0</v>
      </c>
      <c r="F225" s="7">
        <f t="shared" si="4"/>
        <v>61939.4</v>
      </c>
      <c r="G225" s="5"/>
      <c r="H225" s="5"/>
      <c r="I225" s="8">
        <f t="shared" si="1"/>
        <v>11</v>
      </c>
      <c r="J225" s="8">
        <f t="shared" si="2"/>
        <v>2024</v>
      </c>
      <c r="K225" s="8" t="str">
        <f t="shared" si="3"/>
        <v>2024 - 11</v>
      </c>
    </row>
    <row r="226" hidden="1" outlineLevel="1">
      <c r="A226" s="2">
        <v>222.0</v>
      </c>
      <c r="B226" s="3">
        <v>45600.0</v>
      </c>
      <c r="C226" s="5" t="s">
        <v>16</v>
      </c>
      <c r="D226" s="5" t="s">
        <v>10</v>
      </c>
      <c r="E226" s="6">
        <v>-2998.0</v>
      </c>
      <c r="F226" s="7">
        <f t="shared" si="4"/>
        <v>58941.4</v>
      </c>
      <c r="G226" s="5" t="s">
        <v>152</v>
      </c>
      <c r="H226" s="5"/>
      <c r="I226" s="8">
        <f t="shared" si="1"/>
        <v>11</v>
      </c>
      <c r="J226" s="8">
        <f t="shared" si="2"/>
        <v>2024</v>
      </c>
      <c r="K226" s="8" t="str">
        <f t="shared" si="3"/>
        <v>2024 - 11</v>
      </c>
    </row>
    <row r="227" hidden="1" outlineLevel="1">
      <c r="A227" s="2">
        <v>223.0</v>
      </c>
      <c r="B227" s="3">
        <v>45601.0</v>
      </c>
      <c r="C227" s="5" t="s">
        <v>35</v>
      </c>
      <c r="D227" s="5" t="s">
        <v>10</v>
      </c>
      <c r="E227" s="6">
        <v>-25000.0</v>
      </c>
      <c r="F227" s="7">
        <f t="shared" si="4"/>
        <v>33941.4</v>
      </c>
      <c r="G227" s="5" t="s">
        <v>36</v>
      </c>
      <c r="H227" s="5"/>
      <c r="I227" s="8">
        <f t="shared" si="1"/>
        <v>11</v>
      </c>
      <c r="J227" s="8">
        <f t="shared" si="2"/>
        <v>2024</v>
      </c>
      <c r="K227" s="8" t="str">
        <f t="shared" si="3"/>
        <v>2024 - 11</v>
      </c>
    </row>
    <row r="228" hidden="1" outlineLevel="1">
      <c r="A228" s="2">
        <v>224.0</v>
      </c>
      <c r="B228" s="3">
        <v>45602.0</v>
      </c>
      <c r="C228" s="5" t="s">
        <v>12</v>
      </c>
      <c r="D228" s="5" t="s">
        <v>10</v>
      </c>
      <c r="E228" s="6">
        <v>-10000.0</v>
      </c>
      <c r="F228" s="7">
        <f t="shared" si="4"/>
        <v>23941.4</v>
      </c>
      <c r="G228" s="5" t="s">
        <v>14</v>
      </c>
      <c r="H228" s="5" t="s">
        <v>153</v>
      </c>
      <c r="I228" s="8">
        <f t="shared" si="1"/>
        <v>11</v>
      </c>
      <c r="J228" s="8">
        <f t="shared" si="2"/>
        <v>2024</v>
      </c>
      <c r="K228" s="8" t="str">
        <f t="shared" si="3"/>
        <v>2024 - 11</v>
      </c>
    </row>
    <row r="229" hidden="1" outlineLevel="1">
      <c r="A229" s="2">
        <v>225.0</v>
      </c>
      <c r="B229" s="3">
        <v>45603.0</v>
      </c>
      <c r="C229" s="5" t="s">
        <v>38</v>
      </c>
      <c r="D229" s="5" t="s">
        <v>147</v>
      </c>
      <c r="E229" s="6">
        <v>-3609.0</v>
      </c>
      <c r="F229" s="7">
        <f t="shared" si="4"/>
        <v>20332.4</v>
      </c>
      <c r="G229" s="5" t="s">
        <v>154</v>
      </c>
      <c r="H229" s="5" t="s">
        <v>143</v>
      </c>
      <c r="I229" s="8">
        <f t="shared" si="1"/>
        <v>11</v>
      </c>
      <c r="J229" s="8">
        <f t="shared" si="2"/>
        <v>2024</v>
      </c>
      <c r="K229" s="8" t="str">
        <f t="shared" si="3"/>
        <v>2024 - 11</v>
      </c>
    </row>
    <row r="230" hidden="1" outlineLevel="1">
      <c r="A230" s="2">
        <v>226.0</v>
      </c>
      <c r="B230" s="3">
        <v>45604.0</v>
      </c>
      <c r="C230" s="5" t="s">
        <v>31</v>
      </c>
      <c r="D230" s="5" t="s">
        <v>10</v>
      </c>
      <c r="E230" s="6">
        <v>-50.0</v>
      </c>
      <c r="F230" s="7">
        <f t="shared" si="4"/>
        <v>20282.4</v>
      </c>
      <c r="G230" s="5" t="s">
        <v>44</v>
      </c>
      <c r="H230" s="5"/>
      <c r="I230" s="8">
        <f t="shared" si="1"/>
        <v>11</v>
      </c>
      <c r="J230" s="8">
        <f t="shared" si="2"/>
        <v>2024</v>
      </c>
      <c r="K230" s="8" t="str">
        <f t="shared" si="3"/>
        <v>2024 - 11</v>
      </c>
    </row>
    <row r="231" hidden="1" outlineLevel="1">
      <c r="A231" s="2">
        <v>227.0</v>
      </c>
      <c r="B231" s="3">
        <v>45604.0</v>
      </c>
      <c r="C231" s="5" t="s">
        <v>31</v>
      </c>
      <c r="D231" s="5" t="s">
        <v>10</v>
      </c>
      <c r="E231" s="6">
        <v>-37.0</v>
      </c>
      <c r="F231" s="7">
        <f t="shared" si="4"/>
        <v>20245.4</v>
      </c>
      <c r="G231" s="5" t="s">
        <v>99</v>
      </c>
      <c r="H231" s="5"/>
      <c r="I231" s="8">
        <f t="shared" si="1"/>
        <v>11</v>
      </c>
      <c r="J231" s="8">
        <f t="shared" si="2"/>
        <v>2024</v>
      </c>
      <c r="K231" s="8" t="str">
        <f t="shared" si="3"/>
        <v>2024 - 11</v>
      </c>
    </row>
    <row r="232" hidden="1" outlineLevel="1">
      <c r="A232" s="2">
        <v>228.0</v>
      </c>
      <c r="B232" s="3">
        <v>45604.0</v>
      </c>
      <c r="C232" s="5" t="s">
        <v>9</v>
      </c>
      <c r="D232" s="5" t="s">
        <v>10</v>
      </c>
      <c r="E232" s="6">
        <v>-50.0</v>
      </c>
      <c r="F232" s="7">
        <f t="shared" si="4"/>
        <v>20195.4</v>
      </c>
      <c r="G232" s="5" t="s">
        <v>155</v>
      </c>
      <c r="H232" s="5"/>
      <c r="I232" s="8">
        <f t="shared" si="1"/>
        <v>11</v>
      </c>
      <c r="J232" s="8">
        <f t="shared" si="2"/>
        <v>2024</v>
      </c>
      <c r="K232" s="8" t="str">
        <f t="shared" si="3"/>
        <v>2024 - 11</v>
      </c>
    </row>
    <row r="233" hidden="1" outlineLevel="1">
      <c r="A233" s="2">
        <v>229.0</v>
      </c>
      <c r="B233" s="3">
        <v>45604.0</v>
      </c>
      <c r="C233" s="5" t="s">
        <v>12</v>
      </c>
      <c r="D233" s="5" t="s">
        <v>10</v>
      </c>
      <c r="E233" s="6">
        <v>-500.0</v>
      </c>
      <c r="F233" s="7">
        <f t="shared" si="4"/>
        <v>19695.4</v>
      </c>
      <c r="G233" s="5"/>
      <c r="H233" s="5"/>
      <c r="I233" s="8">
        <f t="shared" si="1"/>
        <v>11</v>
      </c>
      <c r="J233" s="8">
        <f t="shared" si="2"/>
        <v>2024</v>
      </c>
      <c r="K233" s="8" t="str">
        <f t="shared" si="3"/>
        <v>2024 - 11</v>
      </c>
    </row>
    <row r="234" hidden="1" outlineLevel="1">
      <c r="A234" s="2">
        <v>230.0</v>
      </c>
      <c r="B234" s="3">
        <v>45604.0</v>
      </c>
      <c r="C234" s="5" t="s">
        <v>38</v>
      </c>
      <c r="D234" s="5" t="s">
        <v>136</v>
      </c>
      <c r="E234" s="6">
        <v>-3000.0</v>
      </c>
      <c r="F234" s="7">
        <f t="shared" si="4"/>
        <v>16695.4</v>
      </c>
      <c r="G234" s="5" t="s">
        <v>156</v>
      </c>
      <c r="H234" s="5"/>
      <c r="I234" s="8">
        <f t="shared" si="1"/>
        <v>11</v>
      </c>
      <c r="J234" s="8">
        <f t="shared" si="2"/>
        <v>2024</v>
      </c>
      <c r="K234" s="8" t="str">
        <f t="shared" si="3"/>
        <v>2024 - 11</v>
      </c>
    </row>
    <row r="235" hidden="1" outlineLevel="1">
      <c r="A235" s="2">
        <v>231.0</v>
      </c>
      <c r="B235" s="3">
        <v>45606.0</v>
      </c>
      <c r="C235" s="5" t="s">
        <v>24</v>
      </c>
      <c r="D235" s="5" t="s">
        <v>10</v>
      </c>
      <c r="E235" s="6">
        <v>700.0</v>
      </c>
      <c r="F235" s="7">
        <f t="shared" si="4"/>
        <v>17395.4</v>
      </c>
      <c r="G235" s="5" t="s">
        <v>69</v>
      </c>
      <c r="H235" s="5"/>
      <c r="I235" s="8">
        <f t="shared" si="1"/>
        <v>11</v>
      </c>
      <c r="J235" s="8">
        <f t="shared" si="2"/>
        <v>2024</v>
      </c>
      <c r="K235" s="8" t="str">
        <f t="shared" si="3"/>
        <v>2024 - 11</v>
      </c>
    </row>
    <row r="236" hidden="1" outlineLevel="1">
      <c r="A236" s="2">
        <v>232.0</v>
      </c>
      <c r="B236" s="3">
        <v>45606.0</v>
      </c>
      <c r="C236" s="5" t="s">
        <v>18</v>
      </c>
      <c r="D236" s="5" t="s">
        <v>147</v>
      </c>
      <c r="E236" s="6">
        <v>-451.2</v>
      </c>
      <c r="F236" s="7">
        <f t="shared" si="4"/>
        <v>16944.2</v>
      </c>
      <c r="G236" s="5" t="s">
        <v>117</v>
      </c>
      <c r="H236" s="5"/>
      <c r="I236" s="8">
        <f t="shared" si="1"/>
        <v>11</v>
      </c>
      <c r="J236" s="8">
        <f t="shared" si="2"/>
        <v>2024</v>
      </c>
      <c r="K236" s="8" t="str">
        <f t="shared" si="3"/>
        <v>2024 - 11</v>
      </c>
    </row>
    <row r="237" hidden="1" outlineLevel="1">
      <c r="A237" s="2">
        <v>233.0</v>
      </c>
      <c r="B237" s="3">
        <v>45607.0</v>
      </c>
      <c r="C237" s="5" t="s">
        <v>16</v>
      </c>
      <c r="D237" s="5" t="s">
        <v>147</v>
      </c>
      <c r="E237" s="6">
        <v>-950.64</v>
      </c>
      <c r="F237" s="7">
        <f t="shared" si="4"/>
        <v>15993.56</v>
      </c>
      <c r="G237" s="5" t="s">
        <v>157</v>
      </c>
      <c r="H237" s="5"/>
      <c r="I237" s="8">
        <f t="shared" si="1"/>
        <v>11</v>
      </c>
      <c r="J237" s="8">
        <f t="shared" si="2"/>
        <v>2024</v>
      </c>
      <c r="K237" s="8" t="str">
        <f t="shared" si="3"/>
        <v>2024 - 11</v>
      </c>
    </row>
    <row r="238" hidden="1" outlineLevel="1">
      <c r="A238" s="2">
        <v>234.0</v>
      </c>
      <c r="B238" s="3">
        <v>45609.0</v>
      </c>
      <c r="C238" s="5" t="s">
        <v>9</v>
      </c>
      <c r="D238" s="5" t="s">
        <v>10</v>
      </c>
      <c r="E238" s="6">
        <v>-500.0</v>
      </c>
      <c r="F238" s="7">
        <f t="shared" si="4"/>
        <v>15493.56</v>
      </c>
      <c r="G238" s="5" t="s">
        <v>158</v>
      </c>
      <c r="H238" s="5" t="s">
        <v>159</v>
      </c>
      <c r="I238" s="8">
        <f t="shared" si="1"/>
        <v>11</v>
      </c>
      <c r="J238" s="8">
        <f t="shared" si="2"/>
        <v>2024</v>
      </c>
      <c r="K238" s="8" t="str">
        <f t="shared" si="3"/>
        <v>2024 - 11</v>
      </c>
    </row>
    <row r="239" hidden="1" outlineLevel="1">
      <c r="A239" s="2">
        <v>235.0</v>
      </c>
      <c r="B239" s="3">
        <v>45609.0</v>
      </c>
      <c r="C239" s="5" t="s">
        <v>9</v>
      </c>
      <c r="D239" s="5" t="s">
        <v>10</v>
      </c>
      <c r="E239" s="6">
        <v>-286.0</v>
      </c>
      <c r="F239" s="7">
        <f t="shared" si="4"/>
        <v>15207.56</v>
      </c>
      <c r="G239" s="5" t="s">
        <v>160</v>
      </c>
      <c r="H239" s="5" t="s">
        <v>159</v>
      </c>
      <c r="I239" s="8">
        <f t="shared" si="1"/>
        <v>11</v>
      </c>
      <c r="J239" s="8">
        <f t="shared" si="2"/>
        <v>2024</v>
      </c>
      <c r="K239" s="8" t="str">
        <f t="shared" si="3"/>
        <v>2024 - 11</v>
      </c>
    </row>
    <row r="240" hidden="1" outlineLevel="1">
      <c r="A240" s="2">
        <v>236.0</v>
      </c>
      <c r="B240" s="3">
        <v>45610.0</v>
      </c>
      <c r="C240" s="5" t="s">
        <v>49</v>
      </c>
      <c r="D240" s="5" t="s">
        <v>161</v>
      </c>
      <c r="E240" s="6">
        <v>-649.0</v>
      </c>
      <c r="F240" s="7">
        <f t="shared" si="4"/>
        <v>14558.56</v>
      </c>
      <c r="G240" s="5" t="s">
        <v>50</v>
      </c>
      <c r="H240" s="5"/>
      <c r="I240" s="8">
        <f t="shared" si="1"/>
        <v>11</v>
      </c>
      <c r="J240" s="8">
        <f t="shared" si="2"/>
        <v>2024</v>
      </c>
      <c r="K240" s="8" t="str">
        <f t="shared" si="3"/>
        <v>2024 - 11</v>
      </c>
    </row>
    <row r="241" hidden="1" outlineLevel="1">
      <c r="A241" s="2">
        <v>237.0</v>
      </c>
      <c r="B241" s="3">
        <v>45611.0</v>
      </c>
      <c r="C241" s="5" t="s">
        <v>49</v>
      </c>
      <c r="D241" s="5" t="s">
        <v>10</v>
      </c>
      <c r="E241" s="6">
        <v>-1825.46</v>
      </c>
      <c r="F241" s="7">
        <f t="shared" si="4"/>
        <v>12733.1</v>
      </c>
      <c r="G241" s="5" t="s">
        <v>162</v>
      </c>
      <c r="H241" s="5"/>
      <c r="I241" s="8">
        <f t="shared" si="1"/>
        <v>11</v>
      </c>
      <c r="J241" s="8">
        <f t="shared" si="2"/>
        <v>2024</v>
      </c>
      <c r="K241" s="8" t="str">
        <f t="shared" si="3"/>
        <v>2024 - 11</v>
      </c>
    </row>
    <row r="242" hidden="1" outlineLevel="1">
      <c r="A242" s="2">
        <v>238.0</v>
      </c>
      <c r="B242" s="3">
        <v>45612.0</v>
      </c>
      <c r="C242" s="5" t="s">
        <v>16</v>
      </c>
      <c r="D242" s="5" t="s">
        <v>147</v>
      </c>
      <c r="E242" s="6">
        <v>-990.0</v>
      </c>
      <c r="F242" s="7">
        <f t="shared" si="4"/>
        <v>11743.1</v>
      </c>
      <c r="G242" s="5" t="s">
        <v>163</v>
      </c>
      <c r="H242" s="5"/>
      <c r="I242" s="8">
        <f t="shared" si="1"/>
        <v>11</v>
      </c>
      <c r="J242" s="8">
        <f t="shared" si="2"/>
        <v>2024</v>
      </c>
      <c r="K242" s="8" t="str">
        <f t="shared" si="3"/>
        <v>2024 - 11</v>
      </c>
    </row>
    <row r="243" hidden="1" outlineLevel="1">
      <c r="A243" s="2">
        <v>239.0</v>
      </c>
      <c r="B243" s="3">
        <v>45612.0</v>
      </c>
      <c r="C243" s="5" t="s">
        <v>24</v>
      </c>
      <c r="D243" s="5" t="s">
        <v>10</v>
      </c>
      <c r="E243" s="6">
        <v>165.0</v>
      </c>
      <c r="F243" s="7">
        <f t="shared" si="4"/>
        <v>11908.1</v>
      </c>
      <c r="G243" s="5" t="s">
        <v>164</v>
      </c>
      <c r="H243" s="5"/>
      <c r="I243" s="8">
        <f t="shared" si="1"/>
        <v>11</v>
      </c>
      <c r="J243" s="8">
        <f t="shared" si="2"/>
        <v>2024</v>
      </c>
      <c r="K243" s="8" t="str">
        <f t="shared" si="3"/>
        <v>2024 - 11</v>
      </c>
    </row>
    <row r="244" hidden="1" outlineLevel="1">
      <c r="A244" s="2">
        <v>240.0</v>
      </c>
      <c r="B244" s="3">
        <v>45612.0</v>
      </c>
      <c r="C244" s="5" t="s">
        <v>16</v>
      </c>
      <c r="D244" s="5" t="s">
        <v>147</v>
      </c>
      <c r="E244" s="6">
        <v>-233.0</v>
      </c>
      <c r="F244" s="7">
        <f t="shared" si="4"/>
        <v>11675.1</v>
      </c>
      <c r="G244" s="5" t="s">
        <v>165</v>
      </c>
      <c r="H244" s="5"/>
      <c r="I244" s="8">
        <f t="shared" si="1"/>
        <v>11</v>
      </c>
      <c r="J244" s="8">
        <f t="shared" si="2"/>
        <v>2024</v>
      </c>
      <c r="K244" s="8" t="str">
        <f t="shared" si="3"/>
        <v>2024 - 11</v>
      </c>
    </row>
    <row r="245" hidden="1" outlineLevel="1">
      <c r="A245" s="2">
        <v>241.0</v>
      </c>
      <c r="B245" s="3">
        <v>45613.0</v>
      </c>
      <c r="C245" s="5" t="s">
        <v>16</v>
      </c>
      <c r="D245" s="5" t="s">
        <v>10</v>
      </c>
      <c r="E245" s="6">
        <v>-4206.0</v>
      </c>
      <c r="F245" s="7">
        <f t="shared" si="4"/>
        <v>7469.1</v>
      </c>
      <c r="G245" s="5" t="s">
        <v>166</v>
      </c>
      <c r="H245" s="5"/>
      <c r="I245" s="8">
        <f t="shared" si="1"/>
        <v>11</v>
      </c>
      <c r="J245" s="8">
        <f t="shared" si="2"/>
        <v>2024</v>
      </c>
      <c r="K245" s="8" t="str">
        <f t="shared" si="3"/>
        <v>2024 - 11</v>
      </c>
    </row>
    <row r="246" hidden="1" outlineLevel="1">
      <c r="A246" s="2">
        <v>242.0</v>
      </c>
      <c r="B246" s="3">
        <v>45613.0</v>
      </c>
      <c r="C246" s="5" t="s">
        <v>16</v>
      </c>
      <c r="D246" s="5" t="s">
        <v>147</v>
      </c>
      <c r="E246" s="6">
        <v>-1122.0</v>
      </c>
      <c r="F246" s="7">
        <f t="shared" si="4"/>
        <v>6347.1</v>
      </c>
      <c r="G246" s="5" t="s">
        <v>163</v>
      </c>
      <c r="H246" s="5"/>
      <c r="I246" s="8">
        <f t="shared" si="1"/>
        <v>11</v>
      </c>
      <c r="J246" s="8">
        <f t="shared" si="2"/>
        <v>2024</v>
      </c>
      <c r="K246" s="8" t="str">
        <f t="shared" si="3"/>
        <v>2024 - 11</v>
      </c>
    </row>
    <row r="247" hidden="1" outlineLevel="1">
      <c r="A247" s="2">
        <v>243.0</v>
      </c>
      <c r="B247" s="3">
        <v>45614.0</v>
      </c>
      <c r="C247" s="5" t="s">
        <v>16</v>
      </c>
      <c r="D247" s="5" t="s">
        <v>10</v>
      </c>
      <c r="E247" s="6">
        <v>-360.0</v>
      </c>
      <c r="F247" s="7">
        <f t="shared" si="4"/>
        <v>5987.1</v>
      </c>
      <c r="G247" s="5" t="s">
        <v>167</v>
      </c>
      <c r="H247" s="5" t="s">
        <v>159</v>
      </c>
      <c r="I247" s="8">
        <f t="shared" si="1"/>
        <v>11</v>
      </c>
      <c r="J247" s="8">
        <f t="shared" si="2"/>
        <v>2024</v>
      </c>
      <c r="K247" s="8" t="str">
        <f t="shared" si="3"/>
        <v>2024 - 11</v>
      </c>
    </row>
    <row r="248" hidden="1" outlineLevel="1">
      <c r="A248" s="2">
        <v>244.0</v>
      </c>
      <c r="B248" s="3">
        <v>45618.0</v>
      </c>
      <c r="C248" s="5" t="s">
        <v>12</v>
      </c>
      <c r="D248" s="5" t="s">
        <v>10</v>
      </c>
      <c r="E248" s="6">
        <v>-59.0</v>
      </c>
      <c r="F248" s="7">
        <f t="shared" si="4"/>
        <v>5928.1</v>
      </c>
      <c r="G248" s="5" t="s">
        <v>69</v>
      </c>
      <c r="H248" s="5"/>
      <c r="I248" s="8">
        <f t="shared" si="1"/>
        <v>11</v>
      </c>
      <c r="J248" s="8">
        <f t="shared" si="2"/>
        <v>2024</v>
      </c>
      <c r="K248" s="8" t="str">
        <f t="shared" si="3"/>
        <v>2024 - 11</v>
      </c>
    </row>
    <row r="249" hidden="1" outlineLevel="1">
      <c r="A249" s="2">
        <v>245.0</v>
      </c>
      <c r="B249" s="3">
        <v>45619.0</v>
      </c>
      <c r="C249" s="5" t="s">
        <v>9</v>
      </c>
      <c r="D249" s="5" t="s">
        <v>10</v>
      </c>
      <c r="E249" s="6">
        <v>-3000.0</v>
      </c>
      <c r="F249" s="7">
        <f t="shared" si="4"/>
        <v>2928.1</v>
      </c>
      <c r="G249" s="5" t="s">
        <v>168</v>
      </c>
      <c r="H249" s="5"/>
      <c r="I249" s="8">
        <f t="shared" si="1"/>
        <v>11</v>
      </c>
      <c r="J249" s="8">
        <f t="shared" si="2"/>
        <v>2024</v>
      </c>
      <c r="K249" s="8" t="str">
        <f t="shared" si="3"/>
        <v>2024 - 11</v>
      </c>
    </row>
    <row r="250" hidden="1" outlineLevel="1">
      <c r="A250" s="2">
        <v>246.0</v>
      </c>
      <c r="B250" s="3">
        <v>45619.0</v>
      </c>
      <c r="C250" s="5" t="s">
        <v>24</v>
      </c>
      <c r="D250" s="5" t="s">
        <v>10</v>
      </c>
      <c r="E250" s="6">
        <v>225.0</v>
      </c>
      <c r="F250" s="7">
        <f t="shared" si="4"/>
        <v>3153.1</v>
      </c>
      <c r="G250" s="5" t="s">
        <v>69</v>
      </c>
      <c r="H250" s="5"/>
      <c r="I250" s="8">
        <f t="shared" si="1"/>
        <v>11</v>
      </c>
      <c r="J250" s="8">
        <f t="shared" si="2"/>
        <v>2024</v>
      </c>
      <c r="K250" s="8" t="str">
        <f t="shared" si="3"/>
        <v>2024 - 11</v>
      </c>
    </row>
    <row r="251" hidden="1" outlineLevel="1">
      <c r="A251" s="2">
        <v>247.0</v>
      </c>
      <c r="B251" s="3">
        <v>45622.0</v>
      </c>
      <c r="C251" s="5" t="s">
        <v>49</v>
      </c>
      <c r="D251" s="5" t="s">
        <v>10</v>
      </c>
      <c r="E251" s="6">
        <v>-299.0</v>
      </c>
      <c r="F251" s="7">
        <f t="shared" si="4"/>
        <v>2854.1</v>
      </c>
      <c r="G251" s="5" t="s">
        <v>169</v>
      </c>
      <c r="H251" s="5"/>
      <c r="I251" s="8">
        <f t="shared" si="1"/>
        <v>11</v>
      </c>
      <c r="J251" s="8">
        <f t="shared" si="2"/>
        <v>2024</v>
      </c>
      <c r="K251" s="8" t="str">
        <f t="shared" si="3"/>
        <v>2024 - 11</v>
      </c>
    </row>
    <row r="252" hidden="1" outlineLevel="1">
      <c r="A252" s="2">
        <v>248.0</v>
      </c>
      <c r="B252" s="3">
        <v>45622.0</v>
      </c>
      <c r="C252" s="5" t="s">
        <v>9</v>
      </c>
      <c r="D252" s="5" t="s">
        <v>10</v>
      </c>
      <c r="E252" s="6">
        <v>-40.0</v>
      </c>
      <c r="F252" s="7">
        <f t="shared" si="4"/>
        <v>2814.1</v>
      </c>
      <c r="G252" s="5" t="s">
        <v>167</v>
      </c>
      <c r="H252" s="5" t="s">
        <v>159</v>
      </c>
      <c r="I252" s="8">
        <f t="shared" si="1"/>
        <v>11</v>
      </c>
      <c r="J252" s="8">
        <f t="shared" si="2"/>
        <v>2024</v>
      </c>
      <c r="K252" s="8" t="str">
        <f t="shared" si="3"/>
        <v>2024 - 11</v>
      </c>
    </row>
    <row r="253" hidden="1" outlineLevel="1">
      <c r="A253" s="2">
        <v>249.0</v>
      </c>
      <c r="B253" s="3">
        <v>45623.0</v>
      </c>
      <c r="C253" s="5" t="s">
        <v>12</v>
      </c>
      <c r="D253" s="5" t="s">
        <v>10</v>
      </c>
      <c r="E253" s="6">
        <v>-500.0</v>
      </c>
      <c r="F253" s="7">
        <f t="shared" si="4"/>
        <v>2314.1</v>
      </c>
      <c r="G253" s="5" t="s">
        <v>70</v>
      </c>
      <c r="H253" s="5"/>
      <c r="I253" s="8">
        <f t="shared" si="1"/>
        <v>11</v>
      </c>
      <c r="J253" s="8">
        <f t="shared" si="2"/>
        <v>2024</v>
      </c>
      <c r="K253" s="8" t="str">
        <f t="shared" si="3"/>
        <v>2024 - 11</v>
      </c>
    </row>
    <row r="254" hidden="1" outlineLevel="1">
      <c r="A254" s="2">
        <v>250.0</v>
      </c>
      <c r="B254" s="3">
        <v>45624.0</v>
      </c>
      <c r="C254" s="5" t="s">
        <v>9</v>
      </c>
      <c r="D254" s="5" t="s">
        <v>10</v>
      </c>
      <c r="E254" s="6">
        <v>5000.0</v>
      </c>
      <c r="F254" s="7">
        <f t="shared" si="4"/>
        <v>7314.1</v>
      </c>
      <c r="G254" s="5" t="s">
        <v>72</v>
      </c>
      <c r="I254" s="8">
        <f t="shared" si="1"/>
        <v>11</v>
      </c>
      <c r="J254" s="8">
        <f t="shared" si="2"/>
        <v>2024</v>
      </c>
      <c r="K254" s="8" t="str">
        <f t="shared" si="3"/>
        <v>2024 - 11</v>
      </c>
    </row>
    <row r="255" hidden="1" outlineLevel="1">
      <c r="A255" s="2">
        <v>251.0</v>
      </c>
      <c r="B255" s="3">
        <v>45624.0</v>
      </c>
      <c r="C255" s="5" t="s">
        <v>9</v>
      </c>
      <c r="D255" s="5" t="s">
        <v>10</v>
      </c>
      <c r="E255" s="6">
        <v>-2213.0</v>
      </c>
      <c r="F255" s="7">
        <f t="shared" si="4"/>
        <v>5101.1</v>
      </c>
      <c r="G255" s="5" t="s">
        <v>170</v>
      </c>
      <c r="H255" s="5" t="s">
        <v>159</v>
      </c>
      <c r="I255" s="8">
        <f t="shared" si="1"/>
        <v>11</v>
      </c>
      <c r="J255" s="8">
        <f t="shared" si="2"/>
        <v>2024</v>
      </c>
      <c r="K255" s="8" t="str">
        <f t="shared" si="3"/>
        <v>2024 - 11</v>
      </c>
    </row>
    <row r="256" hidden="1" outlineLevel="1">
      <c r="A256" s="2">
        <v>252.0</v>
      </c>
      <c r="B256" s="3">
        <v>45624.0</v>
      </c>
      <c r="C256" s="5" t="s">
        <v>9</v>
      </c>
      <c r="D256" s="5" t="s">
        <v>10</v>
      </c>
      <c r="E256" s="6">
        <v>-211.0</v>
      </c>
      <c r="F256" s="7">
        <f t="shared" si="4"/>
        <v>4890.1</v>
      </c>
      <c r="G256" s="5" t="s">
        <v>171</v>
      </c>
      <c r="H256" s="5"/>
      <c r="I256" s="8">
        <f t="shared" si="1"/>
        <v>11</v>
      </c>
      <c r="J256" s="8">
        <f t="shared" si="2"/>
        <v>2024</v>
      </c>
      <c r="K256" s="8" t="str">
        <f t="shared" si="3"/>
        <v>2024 - 11</v>
      </c>
    </row>
    <row r="257" hidden="1" outlineLevel="1">
      <c r="A257" s="2">
        <v>253.0</v>
      </c>
      <c r="B257" s="3">
        <v>45624.0</v>
      </c>
      <c r="C257" s="5" t="s">
        <v>9</v>
      </c>
      <c r="D257" s="5" t="s">
        <v>10</v>
      </c>
      <c r="E257" s="6">
        <v>-50.0</v>
      </c>
      <c r="F257" s="7">
        <f t="shared" si="4"/>
        <v>4840.1</v>
      </c>
      <c r="G257" s="5" t="s">
        <v>172</v>
      </c>
      <c r="H257" s="5"/>
      <c r="I257" s="8">
        <f t="shared" si="1"/>
        <v>11</v>
      </c>
      <c r="J257" s="8">
        <f t="shared" si="2"/>
        <v>2024</v>
      </c>
      <c r="K257" s="8" t="str">
        <f t="shared" si="3"/>
        <v>2024 - 11</v>
      </c>
    </row>
    <row r="258" hidden="1" outlineLevel="1">
      <c r="A258" s="2">
        <v>254.0</v>
      </c>
      <c r="B258" s="3">
        <v>45625.0</v>
      </c>
      <c r="C258" s="5" t="s">
        <v>9</v>
      </c>
      <c r="D258" s="5" t="s">
        <v>10</v>
      </c>
      <c r="E258" s="6">
        <v>-177.0</v>
      </c>
      <c r="F258" s="7">
        <f t="shared" si="4"/>
        <v>4663.1</v>
      </c>
      <c r="G258" s="5" t="s">
        <v>173</v>
      </c>
      <c r="H258" s="5"/>
      <c r="I258" s="8">
        <f t="shared" si="1"/>
        <v>11</v>
      </c>
      <c r="J258" s="8">
        <f t="shared" si="2"/>
        <v>2024</v>
      </c>
      <c r="K258" s="8" t="str">
        <f t="shared" si="3"/>
        <v>2024 - 11</v>
      </c>
    </row>
    <row r="259" hidden="1" outlineLevel="1">
      <c r="A259" s="2">
        <v>255.0</v>
      </c>
      <c r="B259" s="3">
        <v>45625.0</v>
      </c>
      <c r="C259" s="5" t="s">
        <v>16</v>
      </c>
      <c r="D259" s="5" t="s">
        <v>10</v>
      </c>
      <c r="E259" s="6">
        <v>-1947.0</v>
      </c>
      <c r="F259" s="7">
        <f t="shared" si="4"/>
        <v>2716.1</v>
      </c>
      <c r="G259" s="5" t="s">
        <v>174</v>
      </c>
      <c r="H259" s="5"/>
      <c r="I259" s="8">
        <f t="shared" si="1"/>
        <v>11</v>
      </c>
      <c r="J259" s="8">
        <f t="shared" si="2"/>
        <v>2024</v>
      </c>
      <c r="K259" s="8" t="str">
        <f t="shared" si="3"/>
        <v>2024 - 11</v>
      </c>
    </row>
    <row r="260" hidden="1" outlineLevel="1">
      <c r="A260" s="2">
        <v>256.0</v>
      </c>
      <c r="B260" s="3">
        <v>45626.0</v>
      </c>
      <c r="C260" s="5" t="s">
        <v>149</v>
      </c>
      <c r="D260" s="5" t="s">
        <v>10</v>
      </c>
      <c r="E260" s="6">
        <v>-799.0</v>
      </c>
      <c r="F260" s="7">
        <f t="shared" si="4"/>
        <v>1917.1</v>
      </c>
      <c r="G260" s="5" t="s">
        <v>175</v>
      </c>
      <c r="H260" s="5"/>
      <c r="I260" s="8">
        <f t="shared" si="1"/>
        <v>11</v>
      </c>
      <c r="J260" s="8">
        <f t="shared" si="2"/>
        <v>2024</v>
      </c>
      <c r="K260" s="8" t="str">
        <f t="shared" si="3"/>
        <v>2024 - 11</v>
      </c>
    </row>
    <row r="261" collapsed="1">
      <c r="A261" s="1">
        <v>257.0</v>
      </c>
      <c r="B261" s="25">
        <v>45627.0</v>
      </c>
      <c r="C261" s="26" t="s">
        <v>101</v>
      </c>
      <c r="D261" s="26" t="s">
        <v>10</v>
      </c>
      <c r="E261" s="27">
        <v>79533.0</v>
      </c>
      <c r="F261" s="28">
        <f t="shared" si="4"/>
        <v>81450.1</v>
      </c>
      <c r="G261" s="26" t="s">
        <v>101</v>
      </c>
      <c r="H261" s="26"/>
      <c r="I261" s="29">
        <f t="shared" si="1"/>
        <v>12</v>
      </c>
      <c r="J261" s="29">
        <f t="shared" si="2"/>
        <v>2024</v>
      </c>
      <c r="K261" s="29" t="str">
        <f t="shared" si="3"/>
        <v>2024 - 12</v>
      </c>
    </row>
    <row r="262" hidden="1" outlineLevel="1">
      <c r="A262" s="2">
        <v>258.0</v>
      </c>
      <c r="B262" s="3">
        <v>45627.0</v>
      </c>
      <c r="C262" s="5" t="s">
        <v>9</v>
      </c>
      <c r="D262" s="5" t="s">
        <v>10</v>
      </c>
      <c r="E262" s="6">
        <v>-5000.0</v>
      </c>
      <c r="F262" s="7">
        <f t="shared" si="4"/>
        <v>76450.1</v>
      </c>
      <c r="G262" s="5" t="s">
        <v>72</v>
      </c>
      <c r="H262" s="5"/>
      <c r="I262" s="8">
        <f t="shared" si="1"/>
        <v>12</v>
      </c>
      <c r="J262" s="8">
        <f t="shared" si="2"/>
        <v>2024</v>
      </c>
      <c r="K262" s="8" t="str">
        <f t="shared" si="3"/>
        <v>2024 - 12</v>
      </c>
    </row>
    <row r="263" hidden="1" outlineLevel="1">
      <c r="A263" s="2">
        <v>259.0</v>
      </c>
      <c r="B263" s="3">
        <v>45627.0</v>
      </c>
      <c r="C263" s="5" t="s">
        <v>16</v>
      </c>
      <c r="D263" s="5" t="s">
        <v>20</v>
      </c>
      <c r="E263" s="6">
        <v>-2849.0</v>
      </c>
      <c r="F263" s="7">
        <f t="shared" si="4"/>
        <v>73601.1</v>
      </c>
      <c r="G263" s="5" t="s">
        <v>176</v>
      </c>
      <c r="H263" s="5"/>
      <c r="I263" s="8">
        <f t="shared" si="1"/>
        <v>12</v>
      </c>
      <c r="J263" s="8">
        <f t="shared" si="2"/>
        <v>2024</v>
      </c>
      <c r="K263" s="8" t="str">
        <f t="shared" si="3"/>
        <v>2024 - 12</v>
      </c>
    </row>
    <row r="264" hidden="1" outlineLevel="1">
      <c r="A264" s="2">
        <v>260.0</v>
      </c>
      <c r="B264" s="3">
        <v>45627.0</v>
      </c>
      <c r="C264" s="5" t="s">
        <v>16</v>
      </c>
      <c r="D264" s="5" t="s">
        <v>10</v>
      </c>
      <c r="E264" s="6">
        <v>-3114.0</v>
      </c>
      <c r="F264" s="7">
        <f t="shared" si="4"/>
        <v>70487.1</v>
      </c>
      <c r="G264" s="5" t="s">
        <v>177</v>
      </c>
      <c r="H264" s="5"/>
      <c r="I264" s="8">
        <f t="shared" si="1"/>
        <v>12</v>
      </c>
      <c r="J264" s="8">
        <f t="shared" si="2"/>
        <v>2024</v>
      </c>
      <c r="K264" s="8" t="str">
        <f t="shared" si="3"/>
        <v>2024 - 12</v>
      </c>
    </row>
    <row r="265" hidden="1" outlineLevel="1">
      <c r="A265" s="2">
        <v>261.0</v>
      </c>
      <c r="B265" s="3">
        <v>45627.0</v>
      </c>
      <c r="C265" s="5" t="s">
        <v>16</v>
      </c>
      <c r="D265" s="5" t="s">
        <v>20</v>
      </c>
      <c r="E265" s="6">
        <v>-612.05</v>
      </c>
      <c r="F265" s="7">
        <f t="shared" si="4"/>
        <v>69875.05</v>
      </c>
      <c r="G265" s="5" t="s">
        <v>178</v>
      </c>
      <c r="H265" s="5"/>
      <c r="I265" s="8">
        <f t="shared" si="1"/>
        <v>12</v>
      </c>
      <c r="J265" s="8">
        <f t="shared" si="2"/>
        <v>2024</v>
      </c>
      <c r="K265" s="8" t="str">
        <f t="shared" si="3"/>
        <v>2024 - 12</v>
      </c>
    </row>
    <row r="266" hidden="1" outlineLevel="1">
      <c r="A266" s="2">
        <v>262.0</v>
      </c>
      <c r="B266" s="3">
        <v>45627.0</v>
      </c>
      <c r="C266" s="5" t="s">
        <v>49</v>
      </c>
      <c r="D266" s="5" t="s">
        <v>20</v>
      </c>
      <c r="E266" s="6">
        <v>-313.0</v>
      </c>
      <c r="F266" s="7">
        <f t="shared" si="4"/>
        <v>69562.05</v>
      </c>
      <c r="G266" s="5" t="s">
        <v>88</v>
      </c>
      <c r="H266" s="5"/>
      <c r="I266" s="8">
        <f t="shared" si="1"/>
        <v>12</v>
      </c>
      <c r="J266" s="8">
        <f t="shared" si="2"/>
        <v>2024</v>
      </c>
      <c r="K266" s="8" t="str">
        <f t="shared" si="3"/>
        <v>2024 - 12</v>
      </c>
    </row>
    <row r="267" hidden="1" outlineLevel="1">
      <c r="A267" s="2">
        <v>263.0</v>
      </c>
      <c r="B267" s="3">
        <v>45627.0</v>
      </c>
      <c r="C267" s="5" t="s">
        <v>80</v>
      </c>
      <c r="D267" s="5" t="s">
        <v>10</v>
      </c>
      <c r="E267" s="6">
        <v>-2100.0</v>
      </c>
      <c r="F267" s="7">
        <f t="shared" si="4"/>
        <v>67462.05</v>
      </c>
      <c r="G267" s="5"/>
      <c r="H267" s="5"/>
      <c r="I267" s="8">
        <f t="shared" si="1"/>
        <v>12</v>
      </c>
      <c r="J267" s="8">
        <f t="shared" si="2"/>
        <v>2024</v>
      </c>
      <c r="K267" s="8" t="str">
        <f t="shared" si="3"/>
        <v>2024 - 12</v>
      </c>
    </row>
    <row r="268" hidden="1" outlineLevel="1">
      <c r="A268" s="2">
        <v>264.0</v>
      </c>
      <c r="B268" s="3">
        <v>45629.0</v>
      </c>
      <c r="C268" s="5" t="s">
        <v>9</v>
      </c>
      <c r="D268" s="5" t="s">
        <v>10</v>
      </c>
      <c r="E268" s="6">
        <v>-297.0</v>
      </c>
      <c r="F268" s="7">
        <f t="shared" si="4"/>
        <v>67165.05</v>
      </c>
      <c r="G268" s="5" t="s">
        <v>179</v>
      </c>
      <c r="H268" s="5"/>
      <c r="I268" s="8">
        <f t="shared" si="1"/>
        <v>12</v>
      </c>
      <c r="J268" s="8">
        <f t="shared" si="2"/>
        <v>2024</v>
      </c>
      <c r="K268" s="8" t="str">
        <f t="shared" si="3"/>
        <v>2024 - 12</v>
      </c>
    </row>
    <row r="269" hidden="1" outlineLevel="1">
      <c r="A269" s="2">
        <v>265.0</v>
      </c>
      <c r="B269" s="3">
        <v>45629.0</v>
      </c>
      <c r="C269" s="5" t="s">
        <v>9</v>
      </c>
      <c r="D269" s="5" t="s">
        <v>10</v>
      </c>
      <c r="E269" s="6">
        <v>-295.0</v>
      </c>
      <c r="F269" s="7">
        <f t="shared" si="4"/>
        <v>66870.05</v>
      </c>
      <c r="G269" s="5" t="s">
        <v>180</v>
      </c>
      <c r="H269" s="5"/>
      <c r="I269" s="8">
        <f t="shared" si="1"/>
        <v>12</v>
      </c>
      <c r="J269" s="8">
        <f t="shared" si="2"/>
        <v>2024</v>
      </c>
      <c r="K269" s="8" t="str">
        <f t="shared" si="3"/>
        <v>2024 - 12</v>
      </c>
    </row>
    <row r="270" hidden="1" outlineLevel="1">
      <c r="A270" s="2">
        <v>266.0</v>
      </c>
      <c r="B270" s="3">
        <v>45629.0</v>
      </c>
      <c r="C270" s="5" t="s">
        <v>9</v>
      </c>
      <c r="D270" s="5" t="s">
        <v>10</v>
      </c>
      <c r="E270" s="6">
        <v>-50.0</v>
      </c>
      <c r="F270" s="7">
        <f t="shared" si="4"/>
        <v>66820.05</v>
      </c>
      <c r="G270" s="5" t="s">
        <v>181</v>
      </c>
      <c r="H270" s="5"/>
      <c r="I270" s="8">
        <f t="shared" si="1"/>
        <v>12</v>
      </c>
      <c r="J270" s="8">
        <f t="shared" si="2"/>
        <v>2024</v>
      </c>
      <c r="K270" s="8" t="str">
        <f t="shared" si="3"/>
        <v>2024 - 12</v>
      </c>
    </row>
    <row r="271" hidden="1" outlineLevel="1">
      <c r="A271" s="2">
        <v>267.0</v>
      </c>
      <c r="B271" s="3">
        <v>45630.0</v>
      </c>
      <c r="C271" s="5" t="s">
        <v>16</v>
      </c>
      <c r="D271" s="5" t="s">
        <v>39</v>
      </c>
      <c r="E271" s="6">
        <v>-1128.0</v>
      </c>
      <c r="F271" s="7">
        <f t="shared" si="4"/>
        <v>65692.05</v>
      </c>
      <c r="G271" s="5"/>
      <c r="H271" s="5"/>
      <c r="I271" s="8">
        <f t="shared" si="1"/>
        <v>12</v>
      </c>
      <c r="J271" s="8">
        <f t="shared" si="2"/>
        <v>2024</v>
      </c>
      <c r="K271" s="8" t="str">
        <f t="shared" si="3"/>
        <v>2024 - 12</v>
      </c>
    </row>
    <row r="272" hidden="1" outlineLevel="1">
      <c r="A272" s="2">
        <v>268.0</v>
      </c>
      <c r="B272" s="3">
        <v>45631.0</v>
      </c>
      <c r="C272" s="5" t="s">
        <v>16</v>
      </c>
      <c r="D272" s="5" t="s">
        <v>10</v>
      </c>
      <c r="E272" s="6">
        <v>3114.0</v>
      </c>
      <c r="F272" s="7">
        <f t="shared" si="4"/>
        <v>68806.05</v>
      </c>
      <c r="G272" s="5" t="s">
        <v>182</v>
      </c>
      <c r="H272" s="5"/>
      <c r="I272" s="8">
        <f t="shared" si="1"/>
        <v>12</v>
      </c>
      <c r="J272" s="8">
        <f t="shared" si="2"/>
        <v>2024</v>
      </c>
      <c r="K272" s="8" t="str">
        <f t="shared" si="3"/>
        <v>2024 - 12</v>
      </c>
    </row>
    <row r="273" hidden="1" outlineLevel="1">
      <c r="A273" s="2">
        <v>269.0</v>
      </c>
      <c r="B273" s="3">
        <v>45631.0</v>
      </c>
      <c r="C273" s="5" t="s">
        <v>16</v>
      </c>
      <c r="D273" s="5" t="s">
        <v>10</v>
      </c>
      <c r="E273" s="6">
        <v>-2448.0</v>
      </c>
      <c r="F273" s="7">
        <f t="shared" si="4"/>
        <v>66358.05</v>
      </c>
      <c r="G273" s="5" t="s">
        <v>177</v>
      </c>
      <c r="H273" s="5"/>
      <c r="I273" s="8">
        <f t="shared" si="1"/>
        <v>12</v>
      </c>
      <c r="J273" s="8">
        <f t="shared" si="2"/>
        <v>2024</v>
      </c>
      <c r="K273" s="8" t="str">
        <f t="shared" si="3"/>
        <v>2024 - 12</v>
      </c>
    </row>
    <row r="274" hidden="1" outlineLevel="1">
      <c r="A274" s="2">
        <v>270.0</v>
      </c>
      <c r="B274" s="3">
        <v>45631.0</v>
      </c>
      <c r="C274" s="5" t="s">
        <v>35</v>
      </c>
      <c r="D274" s="5" t="s">
        <v>20</v>
      </c>
      <c r="E274" s="6">
        <v>-40000.0</v>
      </c>
      <c r="F274" s="7">
        <f t="shared" si="4"/>
        <v>26358.05</v>
      </c>
      <c r="G274" s="5" t="s">
        <v>36</v>
      </c>
      <c r="H274" s="5"/>
      <c r="I274" s="8">
        <f t="shared" si="1"/>
        <v>12</v>
      </c>
      <c r="J274" s="8">
        <f t="shared" si="2"/>
        <v>2024</v>
      </c>
      <c r="K274" s="8" t="str">
        <f t="shared" si="3"/>
        <v>2024 - 12</v>
      </c>
    </row>
    <row r="275" hidden="1" outlineLevel="1">
      <c r="A275" s="2">
        <v>271.0</v>
      </c>
      <c r="B275" s="3">
        <v>45631.0</v>
      </c>
      <c r="C275" s="5" t="s">
        <v>105</v>
      </c>
      <c r="D275" s="5" t="s">
        <v>39</v>
      </c>
      <c r="E275" s="6">
        <v>2000.0</v>
      </c>
      <c r="F275" s="7">
        <f t="shared" si="4"/>
        <v>28358.05</v>
      </c>
      <c r="G275" s="5" t="s">
        <v>14</v>
      </c>
      <c r="H275" s="5" t="s">
        <v>153</v>
      </c>
      <c r="I275" s="8">
        <f t="shared" si="1"/>
        <v>12</v>
      </c>
      <c r="J275" s="8">
        <f t="shared" si="2"/>
        <v>2024</v>
      </c>
      <c r="K275" s="8" t="str">
        <f t="shared" si="3"/>
        <v>2024 - 12</v>
      </c>
    </row>
    <row r="276" hidden="1" outlineLevel="1">
      <c r="A276" s="2">
        <v>272.0</v>
      </c>
      <c r="B276" s="3">
        <v>45632.0</v>
      </c>
      <c r="C276" s="5" t="s">
        <v>80</v>
      </c>
      <c r="D276" s="5" t="s">
        <v>10</v>
      </c>
      <c r="E276" s="6">
        <v>5332.0</v>
      </c>
      <c r="F276" s="7">
        <f t="shared" si="4"/>
        <v>33690.05</v>
      </c>
      <c r="G276" s="5"/>
      <c r="H276" s="5"/>
      <c r="I276" s="8">
        <f t="shared" si="1"/>
        <v>12</v>
      </c>
      <c r="J276" s="8">
        <f t="shared" si="2"/>
        <v>2024</v>
      </c>
      <c r="K276" s="8" t="str">
        <f t="shared" si="3"/>
        <v>2024 - 12</v>
      </c>
    </row>
    <row r="277" hidden="1" outlineLevel="1">
      <c r="A277" s="2">
        <v>273.0</v>
      </c>
      <c r="B277" s="3">
        <v>45633.0</v>
      </c>
      <c r="C277" s="5" t="s">
        <v>9</v>
      </c>
      <c r="D277" s="5" t="s">
        <v>39</v>
      </c>
      <c r="E277" s="6">
        <v>-285.0</v>
      </c>
      <c r="F277" s="7">
        <f t="shared" si="4"/>
        <v>33405.05</v>
      </c>
      <c r="G277" s="5" t="s">
        <v>183</v>
      </c>
      <c r="H277" s="5"/>
      <c r="I277" s="8">
        <f t="shared" si="1"/>
        <v>12</v>
      </c>
      <c r="J277" s="8">
        <f t="shared" si="2"/>
        <v>2024</v>
      </c>
      <c r="K277" s="8" t="str">
        <f t="shared" si="3"/>
        <v>2024 - 12</v>
      </c>
    </row>
    <row r="278" hidden="1" outlineLevel="1">
      <c r="A278" s="2">
        <v>274.0</v>
      </c>
      <c r="B278" s="3">
        <v>45633.0</v>
      </c>
      <c r="C278" s="5" t="s">
        <v>24</v>
      </c>
      <c r="D278" s="5" t="s">
        <v>39</v>
      </c>
      <c r="E278" s="6">
        <v>100.0</v>
      </c>
      <c r="F278" s="7">
        <f t="shared" si="4"/>
        <v>33505.05</v>
      </c>
      <c r="G278" s="5" t="s">
        <v>127</v>
      </c>
      <c r="H278" s="5"/>
      <c r="I278" s="8">
        <f t="shared" si="1"/>
        <v>12</v>
      </c>
      <c r="J278" s="8">
        <f t="shared" si="2"/>
        <v>2024</v>
      </c>
      <c r="K278" s="8" t="str">
        <f t="shared" si="3"/>
        <v>2024 - 12</v>
      </c>
    </row>
    <row r="279" hidden="1" outlineLevel="1">
      <c r="A279" s="2">
        <v>275.0</v>
      </c>
      <c r="B279" s="3">
        <v>45636.0</v>
      </c>
      <c r="C279" s="5" t="s">
        <v>80</v>
      </c>
      <c r="D279" s="5" t="s">
        <v>10</v>
      </c>
      <c r="E279" s="6">
        <v>4964.34</v>
      </c>
      <c r="F279" s="7">
        <f t="shared" si="4"/>
        <v>38469.39</v>
      </c>
      <c r="G279" s="5"/>
      <c r="H279" s="5"/>
      <c r="I279" s="8">
        <f t="shared" si="1"/>
        <v>12</v>
      </c>
      <c r="J279" s="8">
        <f t="shared" si="2"/>
        <v>2024</v>
      </c>
      <c r="K279" s="8" t="str">
        <f t="shared" si="3"/>
        <v>2024 - 12</v>
      </c>
    </row>
    <row r="280" hidden="1" outlineLevel="1">
      <c r="A280" s="2">
        <v>276.0</v>
      </c>
      <c r="B280" s="3">
        <v>45636.0</v>
      </c>
      <c r="C280" s="5" t="s">
        <v>80</v>
      </c>
      <c r="D280" s="30" t="s">
        <v>10</v>
      </c>
      <c r="E280" s="6">
        <v>8863.85</v>
      </c>
      <c r="F280" s="7">
        <f t="shared" si="4"/>
        <v>47333.24</v>
      </c>
      <c r="G280" s="5"/>
      <c r="H280" s="5"/>
      <c r="I280" s="8">
        <f t="shared" si="1"/>
        <v>12</v>
      </c>
      <c r="J280" s="8">
        <f t="shared" si="2"/>
        <v>2024</v>
      </c>
      <c r="K280" s="8" t="str">
        <f t="shared" si="3"/>
        <v>2024 - 12</v>
      </c>
    </row>
    <row r="281" hidden="1" outlineLevel="1">
      <c r="A281" s="2">
        <v>277.0</v>
      </c>
      <c r="B281" s="3">
        <v>45637.0</v>
      </c>
      <c r="C281" s="5" t="s">
        <v>9</v>
      </c>
      <c r="D281" s="5" t="s">
        <v>39</v>
      </c>
      <c r="E281" s="6">
        <v>-41.0</v>
      </c>
      <c r="F281" s="7">
        <f t="shared" si="4"/>
        <v>47292.24</v>
      </c>
      <c r="G281" s="5" t="s">
        <v>184</v>
      </c>
      <c r="H281" s="5"/>
      <c r="I281" s="8">
        <f t="shared" si="1"/>
        <v>12</v>
      </c>
      <c r="J281" s="8">
        <f t="shared" si="2"/>
        <v>2024</v>
      </c>
      <c r="K281" s="8" t="str">
        <f t="shared" si="3"/>
        <v>2024 - 12</v>
      </c>
    </row>
    <row r="282" hidden="1" outlineLevel="1">
      <c r="A282" s="2">
        <v>278.0</v>
      </c>
      <c r="B282" s="3">
        <v>45637.0</v>
      </c>
      <c r="C282" s="5" t="s">
        <v>105</v>
      </c>
      <c r="D282" s="5" t="s">
        <v>39</v>
      </c>
      <c r="E282" s="6">
        <v>8000.0</v>
      </c>
      <c r="F282" s="7">
        <f t="shared" si="4"/>
        <v>55292.24</v>
      </c>
      <c r="G282" s="5" t="s">
        <v>14</v>
      </c>
      <c r="H282" s="5" t="s">
        <v>153</v>
      </c>
      <c r="I282" s="8">
        <f t="shared" si="1"/>
        <v>12</v>
      </c>
      <c r="J282" s="8">
        <f t="shared" si="2"/>
        <v>2024</v>
      </c>
      <c r="K282" s="8" t="str">
        <f t="shared" si="3"/>
        <v>2024 - 12</v>
      </c>
    </row>
    <row r="283" hidden="1" outlineLevel="1">
      <c r="A283" s="2">
        <v>279.0</v>
      </c>
      <c r="B283" s="3">
        <v>45637.0</v>
      </c>
      <c r="C283" s="5" t="s">
        <v>16</v>
      </c>
      <c r="D283" s="5" t="s">
        <v>10</v>
      </c>
      <c r="E283" s="6">
        <v>-20312.0</v>
      </c>
      <c r="F283" s="7">
        <f t="shared" si="4"/>
        <v>34980.24</v>
      </c>
      <c r="G283" s="5" t="s">
        <v>184</v>
      </c>
      <c r="H283" s="5"/>
      <c r="I283" s="8">
        <f t="shared" si="1"/>
        <v>12</v>
      </c>
      <c r="J283" s="8">
        <f t="shared" si="2"/>
        <v>2024</v>
      </c>
      <c r="K283" s="8" t="str">
        <f t="shared" si="3"/>
        <v>2024 - 12</v>
      </c>
    </row>
    <row r="284" hidden="1" outlineLevel="1">
      <c r="A284" s="2">
        <v>280.0</v>
      </c>
      <c r="B284" s="3">
        <v>45637.0</v>
      </c>
      <c r="C284" s="5" t="s">
        <v>9</v>
      </c>
      <c r="D284" s="5" t="s">
        <v>10</v>
      </c>
      <c r="E284" s="6">
        <v>-500.0</v>
      </c>
      <c r="F284" s="7">
        <f t="shared" si="4"/>
        <v>34480.24</v>
      </c>
      <c r="G284" s="5" t="s">
        <v>185</v>
      </c>
      <c r="H284" s="5"/>
      <c r="I284" s="8">
        <f t="shared" si="1"/>
        <v>12</v>
      </c>
      <c r="J284" s="8">
        <f t="shared" si="2"/>
        <v>2024</v>
      </c>
      <c r="K284" s="8" t="str">
        <f t="shared" si="3"/>
        <v>2024 - 12</v>
      </c>
    </row>
    <row r="285" hidden="1" outlineLevel="1">
      <c r="A285" s="2">
        <v>281.0</v>
      </c>
      <c r="B285" s="3">
        <v>45641.0</v>
      </c>
      <c r="C285" s="5" t="s">
        <v>49</v>
      </c>
      <c r="D285" s="5" t="s">
        <v>136</v>
      </c>
      <c r="E285" s="6">
        <v>-649.0</v>
      </c>
      <c r="F285" s="7">
        <f t="shared" si="4"/>
        <v>33831.24</v>
      </c>
      <c r="G285" s="5" t="s">
        <v>50</v>
      </c>
      <c r="H285" s="5"/>
      <c r="I285" s="8">
        <f t="shared" si="1"/>
        <v>12</v>
      </c>
      <c r="J285" s="8">
        <f t="shared" si="2"/>
        <v>2024</v>
      </c>
      <c r="K285" s="8" t="str">
        <f t="shared" si="3"/>
        <v>2024 - 12</v>
      </c>
    </row>
    <row r="286" hidden="1" outlineLevel="1">
      <c r="A286" s="2">
        <v>282.0</v>
      </c>
      <c r="B286" s="3">
        <v>45642.0</v>
      </c>
      <c r="C286" s="5" t="s">
        <v>9</v>
      </c>
      <c r="D286" s="5" t="s">
        <v>10</v>
      </c>
      <c r="E286" s="6">
        <v>-2500.0</v>
      </c>
      <c r="F286" s="7">
        <f t="shared" si="4"/>
        <v>31331.24</v>
      </c>
      <c r="G286" s="5" t="s">
        <v>186</v>
      </c>
      <c r="H286" s="5"/>
      <c r="I286" s="8">
        <f t="shared" si="1"/>
        <v>12</v>
      </c>
      <c r="J286" s="8">
        <f t="shared" si="2"/>
        <v>2024</v>
      </c>
      <c r="K286" s="8" t="str">
        <f t="shared" si="3"/>
        <v>2024 - 12</v>
      </c>
    </row>
    <row r="287" hidden="1" outlineLevel="1">
      <c r="A287" s="2">
        <v>283.0</v>
      </c>
      <c r="B287" s="3">
        <v>45642.0</v>
      </c>
      <c r="C287" s="5" t="s">
        <v>24</v>
      </c>
      <c r="D287" s="5" t="s">
        <v>10</v>
      </c>
      <c r="E287" s="6">
        <v>1429.0</v>
      </c>
      <c r="F287" s="7">
        <f t="shared" si="4"/>
        <v>32760.24</v>
      </c>
      <c r="G287" s="5" t="s">
        <v>184</v>
      </c>
      <c r="H287" s="5"/>
      <c r="I287" s="8">
        <f t="shared" si="1"/>
        <v>12</v>
      </c>
      <c r="J287" s="8">
        <f t="shared" si="2"/>
        <v>2024</v>
      </c>
      <c r="K287" s="8" t="str">
        <f t="shared" si="3"/>
        <v>2024 - 12</v>
      </c>
    </row>
    <row r="288" hidden="1" outlineLevel="1">
      <c r="A288" s="2">
        <v>284.0</v>
      </c>
      <c r="B288" s="3">
        <v>45642.0</v>
      </c>
      <c r="C288" s="5" t="s">
        <v>9</v>
      </c>
      <c r="D288" s="5" t="s">
        <v>10</v>
      </c>
      <c r="E288" s="6">
        <v>-63.0</v>
      </c>
      <c r="F288" s="7">
        <f t="shared" si="4"/>
        <v>32697.24</v>
      </c>
      <c r="G288" s="5" t="s">
        <v>184</v>
      </c>
      <c r="H288" s="5"/>
      <c r="I288" s="8">
        <f t="shared" si="1"/>
        <v>12</v>
      </c>
      <c r="J288" s="8">
        <f t="shared" si="2"/>
        <v>2024</v>
      </c>
      <c r="K288" s="8" t="str">
        <f t="shared" si="3"/>
        <v>2024 - 12</v>
      </c>
    </row>
    <row r="289" hidden="1" outlineLevel="1">
      <c r="A289" s="2">
        <v>285.0</v>
      </c>
      <c r="B289" s="3">
        <v>45642.0</v>
      </c>
      <c r="C289" s="5" t="s">
        <v>9</v>
      </c>
      <c r="D289" s="5" t="s">
        <v>10</v>
      </c>
      <c r="E289" s="6">
        <v>-380.0</v>
      </c>
      <c r="F289" s="7">
        <f t="shared" si="4"/>
        <v>32317.24</v>
      </c>
      <c r="G289" s="5" t="s">
        <v>186</v>
      </c>
      <c r="H289" s="5"/>
      <c r="I289" s="8">
        <f t="shared" si="1"/>
        <v>12</v>
      </c>
      <c r="J289" s="8">
        <f t="shared" si="2"/>
        <v>2024</v>
      </c>
      <c r="K289" s="8" t="str">
        <f t="shared" si="3"/>
        <v>2024 - 12</v>
      </c>
    </row>
    <row r="290" hidden="1" outlineLevel="1">
      <c r="A290" s="2">
        <v>286.0</v>
      </c>
      <c r="B290" s="3">
        <v>45642.0</v>
      </c>
      <c r="C290" s="5" t="s">
        <v>31</v>
      </c>
      <c r="D290" s="5" t="s">
        <v>10</v>
      </c>
      <c r="E290" s="6">
        <v>-93.0</v>
      </c>
      <c r="F290" s="7">
        <f t="shared" si="4"/>
        <v>32224.24</v>
      </c>
      <c r="G290" s="5" t="s">
        <v>32</v>
      </c>
      <c r="H290" s="5"/>
      <c r="I290" s="8">
        <f t="shared" si="1"/>
        <v>12</v>
      </c>
      <c r="J290" s="8">
        <f t="shared" si="2"/>
        <v>2024</v>
      </c>
      <c r="K290" s="8" t="str">
        <f t="shared" si="3"/>
        <v>2024 - 12</v>
      </c>
    </row>
    <row r="291" hidden="1" outlineLevel="1">
      <c r="A291" s="2">
        <v>287.0</v>
      </c>
      <c r="B291" s="3">
        <v>45642.0</v>
      </c>
      <c r="C291" s="5" t="s">
        <v>16</v>
      </c>
      <c r="D291" s="5" t="s">
        <v>147</v>
      </c>
      <c r="E291" s="6">
        <v>-3150.0</v>
      </c>
      <c r="F291" s="7">
        <f t="shared" si="4"/>
        <v>29074.24</v>
      </c>
      <c r="G291" s="5" t="s">
        <v>187</v>
      </c>
      <c r="H291" s="5"/>
      <c r="I291" s="8">
        <f t="shared" si="1"/>
        <v>12</v>
      </c>
      <c r="J291" s="8">
        <f t="shared" si="2"/>
        <v>2024</v>
      </c>
      <c r="K291" s="8" t="str">
        <f t="shared" si="3"/>
        <v>2024 - 12</v>
      </c>
    </row>
    <row r="292" hidden="1" outlineLevel="1">
      <c r="A292" s="2">
        <v>288.0</v>
      </c>
      <c r="B292" s="3">
        <v>45647.0</v>
      </c>
      <c r="C292" s="5" t="s">
        <v>22</v>
      </c>
      <c r="D292" s="5" t="s">
        <v>10</v>
      </c>
      <c r="E292" s="6">
        <v>-300.0</v>
      </c>
      <c r="F292" s="7">
        <f t="shared" si="4"/>
        <v>28774.24</v>
      </c>
      <c r="G292" s="5"/>
      <c r="H292" s="5"/>
      <c r="I292" s="8">
        <f t="shared" si="1"/>
        <v>12</v>
      </c>
      <c r="J292" s="8">
        <f t="shared" si="2"/>
        <v>2024</v>
      </c>
      <c r="K292" s="8" t="str">
        <f t="shared" si="3"/>
        <v>2024 - 12</v>
      </c>
    </row>
    <row r="293" hidden="1" outlineLevel="1">
      <c r="A293" s="2">
        <v>289.0</v>
      </c>
      <c r="B293" s="3">
        <v>45647.0</v>
      </c>
      <c r="C293" s="5" t="s">
        <v>24</v>
      </c>
      <c r="D293" s="5" t="s">
        <v>39</v>
      </c>
      <c r="E293" s="6">
        <v>165.0</v>
      </c>
      <c r="F293" s="7">
        <f t="shared" si="4"/>
        <v>28939.24</v>
      </c>
      <c r="G293" s="5" t="s">
        <v>69</v>
      </c>
      <c r="H293" s="5"/>
      <c r="I293" s="8">
        <f t="shared" si="1"/>
        <v>12</v>
      </c>
      <c r="J293" s="8">
        <f t="shared" si="2"/>
        <v>2024</v>
      </c>
      <c r="K293" s="8" t="str">
        <f t="shared" si="3"/>
        <v>2024 - 12</v>
      </c>
    </row>
    <row r="294" hidden="1" outlineLevel="1">
      <c r="A294" s="2">
        <v>290.0</v>
      </c>
      <c r="B294" s="3">
        <v>45647.0</v>
      </c>
      <c r="C294" s="5" t="s">
        <v>49</v>
      </c>
      <c r="D294" s="5" t="s">
        <v>10</v>
      </c>
      <c r="E294" s="6">
        <v>-1825.46</v>
      </c>
      <c r="F294" s="7">
        <f t="shared" si="4"/>
        <v>27113.78</v>
      </c>
      <c r="G294" s="5" t="s">
        <v>110</v>
      </c>
      <c r="H294" s="5"/>
      <c r="I294" s="8">
        <f t="shared" si="1"/>
        <v>12</v>
      </c>
      <c r="J294" s="8">
        <f t="shared" si="2"/>
        <v>2024</v>
      </c>
      <c r="K294" s="8" t="str">
        <f t="shared" si="3"/>
        <v>2024 - 12</v>
      </c>
    </row>
    <row r="295" hidden="1" outlineLevel="1">
      <c r="A295" s="2">
        <v>291.0</v>
      </c>
      <c r="B295" s="3">
        <v>45647.0</v>
      </c>
      <c r="C295" s="5" t="s">
        <v>18</v>
      </c>
      <c r="D295" s="5" t="s">
        <v>39</v>
      </c>
      <c r="E295" s="6">
        <v>-5937.0</v>
      </c>
      <c r="F295" s="7">
        <f t="shared" si="4"/>
        <v>21176.78</v>
      </c>
      <c r="G295" s="5" t="s">
        <v>188</v>
      </c>
      <c r="H295" s="5"/>
      <c r="I295" s="8">
        <f t="shared" si="1"/>
        <v>12</v>
      </c>
      <c r="J295" s="8">
        <f t="shared" si="2"/>
        <v>2024</v>
      </c>
      <c r="K295" s="8" t="str">
        <f t="shared" si="3"/>
        <v>2024 - 12</v>
      </c>
    </row>
    <row r="296" hidden="1" outlineLevel="1">
      <c r="A296" s="2">
        <v>292.0</v>
      </c>
      <c r="B296" s="3">
        <v>45647.0</v>
      </c>
      <c r="C296" s="5" t="s">
        <v>38</v>
      </c>
      <c r="D296" s="5" t="s">
        <v>39</v>
      </c>
      <c r="E296" s="6">
        <v>-3200.0</v>
      </c>
      <c r="F296" s="7">
        <f t="shared" si="4"/>
        <v>17976.78</v>
      </c>
      <c r="G296" s="5" t="s">
        <v>156</v>
      </c>
      <c r="H296" s="5"/>
      <c r="I296" s="8">
        <f t="shared" si="1"/>
        <v>12</v>
      </c>
      <c r="J296" s="8">
        <f t="shared" si="2"/>
        <v>2024</v>
      </c>
      <c r="K296" s="8" t="str">
        <f t="shared" si="3"/>
        <v>2024 - 12</v>
      </c>
    </row>
    <row r="297" hidden="1" outlineLevel="1">
      <c r="A297" s="2">
        <v>293.0</v>
      </c>
      <c r="B297" s="3">
        <v>45647.0</v>
      </c>
      <c r="C297" s="5" t="s">
        <v>24</v>
      </c>
      <c r="D297" s="5" t="s">
        <v>39</v>
      </c>
      <c r="E297" s="6">
        <v>200.0</v>
      </c>
      <c r="F297" s="7">
        <f t="shared" si="4"/>
        <v>18176.78</v>
      </c>
      <c r="G297" s="5" t="s">
        <v>189</v>
      </c>
      <c r="H297" s="5"/>
      <c r="I297" s="8">
        <f t="shared" si="1"/>
        <v>12</v>
      </c>
      <c r="J297" s="8">
        <f t="shared" si="2"/>
        <v>2024</v>
      </c>
      <c r="K297" s="8" t="str">
        <f t="shared" si="3"/>
        <v>2024 - 12</v>
      </c>
    </row>
    <row r="298" hidden="1" outlineLevel="1">
      <c r="A298" s="2">
        <v>294.0</v>
      </c>
      <c r="B298" s="3">
        <v>45647.0</v>
      </c>
      <c r="C298" s="5" t="s">
        <v>24</v>
      </c>
      <c r="D298" s="5" t="s">
        <v>39</v>
      </c>
      <c r="E298" s="6">
        <v>373.0</v>
      </c>
      <c r="F298" s="7">
        <f t="shared" si="4"/>
        <v>18549.78</v>
      </c>
      <c r="G298" s="5" t="s">
        <v>89</v>
      </c>
      <c r="H298" s="5"/>
      <c r="I298" s="8">
        <f t="shared" si="1"/>
        <v>12</v>
      </c>
      <c r="J298" s="8">
        <f t="shared" si="2"/>
        <v>2024</v>
      </c>
      <c r="K298" s="8" t="str">
        <f t="shared" si="3"/>
        <v>2024 - 12</v>
      </c>
    </row>
    <row r="299" hidden="1" outlineLevel="1">
      <c r="A299" s="2">
        <v>295.0</v>
      </c>
      <c r="B299" s="3">
        <v>45647.0</v>
      </c>
      <c r="C299" s="5" t="s">
        <v>24</v>
      </c>
      <c r="D299" s="5" t="s">
        <v>39</v>
      </c>
      <c r="E299" s="6">
        <v>2300.0</v>
      </c>
      <c r="F299" s="7">
        <f t="shared" si="4"/>
        <v>20849.78</v>
      </c>
      <c r="G299" s="5" t="s">
        <v>60</v>
      </c>
      <c r="H299" s="5"/>
      <c r="I299" s="8">
        <f t="shared" si="1"/>
        <v>12</v>
      </c>
      <c r="J299" s="8">
        <f t="shared" si="2"/>
        <v>2024</v>
      </c>
      <c r="K299" s="8" t="str">
        <f t="shared" si="3"/>
        <v>2024 - 12</v>
      </c>
    </row>
    <row r="300" hidden="1" outlineLevel="1">
      <c r="A300" s="2">
        <v>296.0</v>
      </c>
      <c r="B300" s="3">
        <v>45647.0</v>
      </c>
      <c r="C300" s="5" t="s">
        <v>24</v>
      </c>
      <c r="D300" s="5" t="s">
        <v>39</v>
      </c>
      <c r="E300" s="6">
        <v>542.0</v>
      </c>
      <c r="F300" s="7">
        <f t="shared" si="4"/>
        <v>21391.78</v>
      </c>
      <c r="G300" s="5" t="s">
        <v>189</v>
      </c>
      <c r="H300" s="5"/>
      <c r="I300" s="8">
        <f t="shared" si="1"/>
        <v>12</v>
      </c>
      <c r="J300" s="8">
        <f t="shared" si="2"/>
        <v>2024</v>
      </c>
      <c r="K300" s="8" t="str">
        <f t="shared" si="3"/>
        <v>2024 - 12</v>
      </c>
    </row>
    <row r="301" hidden="1" outlineLevel="1">
      <c r="A301" s="2">
        <v>297.0</v>
      </c>
      <c r="B301" s="3">
        <v>45647.0</v>
      </c>
      <c r="C301" s="5" t="s">
        <v>24</v>
      </c>
      <c r="D301" s="5" t="s">
        <v>39</v>
      </c>
      <c r="E301" s="6">
        <v>1000.0</v>
      </c>
      <c r="F301" s="7">
        <f t="shared" si="4"/>
        <v>22391.78</v>
      </c>
      <c r="G301" s="5" t="s">
        <v>89</v>
      </c>
      <c r="H301" s="5"/>
      <c r="I301" s="8">
        <f t="shared" si="1"/>
        <v>12</v>
      </c>
      <c r="J301" s="8">
        <f t="shared" si="2"/>
        <v>2024</v>
      </c>
      <c r="K301" s="8" t="str">
        <f t="shared" si="3"/>
        <v>2024 - 12</v>
      </c>
    </row>
    <row r="302" hidden="1" outlineLevel="1">
      <c r="A302" s="2">
        <v>298.0</v>
      </c>
      <c r="B302" s="3">
        <v>45647.0</v>
      </c>
      <c r="C302" s="5" t="s">
        <v>24</v>
      </c>
      <c r="D302" s="5" t="s">
        <v>39</v>
      </c>
      <c r="E302" s="6">
        <v>509.0</v>
      </c>
      <c r="F302" s="7">
        <f t="shared" si="4"/>
        <v>22900.78</v>
      </c>
      <c r="G302" s="5" t="s">
        <v>59</v>
      </c>
      <c r="H302" s="5"/>
      <c r="I302" s="8">
        <f t="shared" si="1"/>
        <v>12</v>
      </c>
      <c r="J302" s="8">
        <f t="shared" si="2"/>
        <v>2024</v>
      </c>
      <c r="K302" s="8" t="str">
        <f t="shared" si="3"/>
        <v>2024 - 12</v>
      </c>
    </row>
    <row r="303" hidden="1" outlineLevel="1">
      <c r="A303" s="2">
        <v>299.0</v>
      </c>
      <c r="B303" s="3">
        <v>45647.0</v>
      </c>
      <c r="C303" s="5" t="s">
        <v>24</v>
      </c>
      <c r="D303" s="5" t="s">
        <v>39</v>
      </c>
      <c r="E303" s="6">
        <v>2500.0</v>
      </c>
      <c r="F303" s="7">
        <f t="shared" si="4"/>
        <v>25400.78</v>
      </c>
      <c r="G303" s="5" t="s">
        <v>119</v>
      </c>
      <c r="H303" s="5"/>
      <c r="I303" s="8">
        <f t="shared" si="1"/>
        <v>12</v>
      </c>
      <c r="J303" s="8">
        <f t="shared" si="2"/>
        <v>2024</v>
      </c>
      <c r="K303" s="8" t="str">
        <f t="shared" si="3"/>
        <v>2024 - 12</v>
      </c>
    </row>
    <row r="304" hidden="1" outlineLevel="1">
      <c r="A304" s="2">
        <v>300.0</v>
      </c>
      <c r="B304" s="3">
        <v>45647.0</v>
      </c>
      <c r="C304" s="5" t="s">
        <v>24</v>
      </c>
      <c r="D304" s="5" t="s">
        <v>39</v>
      </c>
      <c r="E304" s="6">
        <v>2900.0</v>
      </c>
      <c r="F304" s="7">
        <f t="shared" si="4"/>
        <v>28300.78</v>
      </c>
      <c r="G304" s="5" t="s">
        <v>190</v>
      </c>
      <c r="H304" s="5"/>
      <c r="I304" s="8">
        <f t="shared" si="1"/>
        <v>12</v>
      </c>
      <c r="J304" s="8">
        <f t="shared" si="2"/>
        <v>2024</v>
      </c>
      <c r="K304" s="8" t="str">
        <f t="shared" si="3"/>
        <v>2024 - 12</v>
      </c>
    </row>
    <row r="305" hidden="1" outlineLevel="1">
      <c r="A305" s="2">
        <v>301.0</v>
      </c>
      <c r="B305" s="3">
        <v>45648.0</v>
      </c>
      <c r="C305" s="5" t="s">
        <v>24</v>
      </c>
      <c r="D305" s="5" t="s">
        <v>39</v>
      </c>
      <c r="E305" s="6">
        <v>2729.0</v>
      </c>
      <c r="F305" s="7">
        <f t="shared" si="4"/>
        <v>31029.78</v>
      </c>
      <c r="G305" s="5" t="s">
        <v>62</v>
      </c>
      <c r="H305" s="5"/>
      <c r="I305" s="8">
        <f t="shared" si="1"/>
        <v>12</v>
      </c>
      <c r="J305" s="8">
        <f t="shared" si="2"/>
        <v>2024</v>
      </c>
      <c r="K305" s="8" t="str">
        <f t="shared" si="3"/>
        <v>2024 - 12</v>
      </c>
    </row>
    <row r="306" hidden="1" outlineLevel="1">
      <c r="A306" s="2">
        <v>302.0</v>
      </c>
      <c r="B306" s="3">
        <v>45647.0</v>
      </c>
      <c r="C306" s="5" t="s">
        <v>9</v>
      </c>
      <c r="D306" s="5" t="s">
        <v>10</v>
      </c>
      <c r="E306" s="6">
        <v>-59.0</v>
      </c>
      <c r="F306" s="7">
        <f t="shared" si="4"/>
        <v>30970.78</v>
      </c>
      <c r="G306" s="5"/>
      <c r="H306" s="5"/>
      <c r="I306" s="8">
        <f t="shared" si="1"/>
        <v>12</v>
      </c>
      <c r="J306" s="8">
        <f t="shared" si="2"/>
        <v>2024</v>
      </c>
      <c r="K306" s="8" t="str">
        <f t="shared" si="3"/>
        <v>2024 - 12</v>
      </c>
    </row>
    <row r="307" hidden="1" outlineLevel="1">
      <c r="A307" s="2">
        <v>303.0</v>
      </c>
      <c r="B307" s="3">
        <v>45651.0</v>
      </c>
      <c r="C307" s="5" t="s">
        <v>149</v>
      </c>
      <c r="D307" s="5" t="s">
        <v>10</v>
      </c>
      <c r="E307" s="6">
        <v>-1199.0</v>
      </c>
      <c r="F307" s="7">
        <f t="shared" si="4"/>
        <v>29771.78</v>
      </c>
      <c r="G307" s="5" t="s">
        <v>191</v>
      </c>
      <c r="H307" s="5"/>
      <c r="I307" s="8">
        <f t="shared" si="1"/>
        <v>12</v>
      </c>
      <c r="J307" s="8">
        <f t="shared" si="2"/>
        <v>2024</v>
      </c>
      <c r="K307" s="8" t="str">
        <f t="shared" si="3"/>
        <v>2024 - 12</v>
      </c>
    </row>
    <row r="308" hidden="1" outlineLevel="1">
      <c r="A308" s="2">
        <v>304.0</v>
      </c>
      <c r="B308" s="3">
        <v>45651.0</v>
      </c>
      <c r="C308" s="5" t="s">
        <v>16</v>
      </c>
      <c r="D308" s="5" t="s">
        <v>10</v>
      </c>
      <c r="E308" s="6">
        <v>-938.0</v>
      </c>
      <c r="F308" s="7">
        <f t="shared" si="4"/>
        <v>28833.78</v>
      </c>
      <c r="G308" s="5"/>
      <c r="H308" s="5"/>
      <c r="I308" s="8">
        <f t="shared" si="1"/>
        <v>12</v>
      </c>
      <c r="J308" s="8">
        <f t="shared" si="2"/>
        <v>2024</v>
      </c>
      <c r="K308" s="8" t="str">
        <f t="shared" si="3"/>
        <v>2024 - 12</v>
      </c>
    </row>
    <row r="309" hidden="1" outlineLevel="1">
      <c r="A309" s="2">
        <v>305.0</v>
      </c>
      <c r="B309" s="3">
        <v>45652.0</v>
      </c>
      <c r="C309" s="5" t="s">
        <v>9</v>
      </c>
      <c r="D309" s="5" t="s">
        <v>10</v>
      </c>
      <c r="E309" s="6">
        <v>-174.0</v>
      </c>
      <c r="F309" s="7">
        <f t="shared" si="4"/>
        <v>28659.78</v>
      </c>
      <c r="G309" s="5"/>
      <c r="H309" s="5"/>
      <c r="I309" s="8">
        <f t="shared" si="1"/>
        <v>12</v>
      </c>
      <c r="J309" s="8">
        <f t="shared" si="2"/>
        <v>2024</v>
      </c>
      <c r="K309" s="8" t="str">
        <f t="shared" si="3"/>
        <v>2024 - 12</v>
      </c>
    </row>
    <row r="310" hidden="1" outlineLevel="1">
      <c r="A310" s="2">
        <v>306.0</v>
      </c>
      <c r="B310" s="3">
        <v>45653.0</v>
      </c>
      <c r="C310" s="5" t="s">
        <v>49</v>
      </c>
      <c r="D310" s="5" t="s">
        <v>10</v>
      </c>
      <c r="E310" s="6">
        <v>-299.0</v>
      </c>
      <c r="F310" s="7">
        <f t="shared" si="4"/>
        <v>28360.78</v>
      </c>
      <c r="G310" s="5" t="s">
        <v>118</v>
      </c>
      <c r="H310" s="5"/>
      <c r="I310" s="8">
        <f t="shared" si="1"/>
        <v>12</v>
      </c>
      <c r="J310" s="8">
        <f t="shared" si="2"/>
        <v>2024</v>
      </c>
      <c r="K310" s="8" t="str">
        <f t="shared" si="3"/>
        <v>2024 - 12</v>
      </c>
    </row>
    <row r="311" hidden="1" outlineLevel="1">
      <c r="A311" s="2">
        <v>307.0</v>
      </c>
      <c r="B311" s="3">
        <v>45654.0</v>
      </c>
      <c r="C311" s="5" t="s">
        <v>16</v>
      </c>
      <c r="D311" s="5" t="s">
        <v>147</v>
      </c>
      <c r="E311" s="6">
        <v>-1233.0</v>
      </c>
      <c r="F311" s="7">
        <f t="shared" si="4"/>
        <v>27127.78</v>
      </c>
      <c r="G311" s="5"/>
      <c r="H311" s="5"/>
      <c r="I311" s="8">
        <f t="shared" si="1"/>
        <v>12</v>
      </c>
      <c r="J311" s="8">
        <f t="shared" si="2"/>
        <v>2024</v>
      </c>
      <c r="K311" s="8" t="str">
        <f t="shared" si="3"/>
        <v>2024 - 12</v>
      </c>
    </row>
    <row r="312" hidden="1" outlineLevel="1">
      <c r="A312" s="2">
        <v>308.0</v>
      </c>
      <c r="B312" s="3">
        <v>45654.0</v>
      </c>
      <c r="C312" s="5" t="s">
        <v>16</v>
      </c>
      <c r="D312" s="5" t="s">
        <v>147</v>
      </c>
      <c r="E312" s="6">
        <v>-293.0</v>
      </c>
      <c r="F312" s="7">
        <f t="shared" si="4"/>
        <v>26834.78</v>
      </c>
      <c r="G312" s="5"/>
      <c r="H312" s="5"/>
      <c r="I312" s="8">
        <f t="shared" si="1"/>
        <v>12</v>
      </c>
      <c r="J312" s="8">
        <f t="shared" si="2"/>
        <v>2024</v>
      </c>
      <c r="K312" s="8" t="str">
        <f t="shared" si="3"/>
        <v>2024 - 12</v>
      </c>
    </row>
    <row r="313" hidden="1" outlineLevel="1">
      <c r="A313" s="2">
        <v>309.0</v>
      </c>
      <c r="B313" s="3">
        <v>45656.0</v>
      </c>
      <c r="C313" s="5" t="s">
        <v>101</v>
      </c>
      <c r="D313" s="5" t="s">
        <v>10</v>
      </c>
      <c r="E313" s="6">
        <v>79533.0</v>
      </c>
      <c r="F313" s="7">
        <f t="shared" si="4"/>
        <v>106367.78</v>
      </c>
      <c r="G313" s="5"/>
      <c r="H313" s="5"/>
      <c r="I313" s="8">
        <f t="shared" si="1"/>
        <v>12</v>
      </c>
      <c r="J313" s="8">
        <f t="shared" si="2"/>
        <v>2024</v>
      </c>
      <c r="K313" s="8" t="str">
        <f t="shared" si="3"/>
        <v>2024 - 12</v>
      </c>
    </row>
    <row r="314" hidden="1" outlineLevel="1">
      <c r="A314" s="2">
        <v>310.0</v>
      </c>
      <c r="B314" s="3">
        <v>45656.0</v>
      </c>
      <c r="C314" s="5" t="s">
        <v>24</v>
      </c>
      <c r="D314" s="5" t="s">
        <v>39</v>
      </c>
      <c r="E314" s="6">
        <v>2000.0</v>
      </c>
      <c r="F314" s="7">
        <f t="shared" si="4"/>
        <v>108367.78</v>
      </c>
      <c r="G314" s="5" t="s">
        <v>14</v>
      </c>
      <c r="H314" s="5"/>
      <c r="I314" s="8">
        <f t="shared" si="1"/>
        <v>12</v>
      </c>
      <c r="J314" s="8">
        <f t="shared" si="2"/>
        <v>2024</v>
      </c>
      <c r="K314" s="8" t="str">
        <f t="shared" si="3"/>
        <v>2024 - 12</v>
      </c>
    </row>
    <row r="315" hidden="1" outlineLevel="1">
      <c r="A315" s="2">
        <v>311.0</v>
      </c>
      <c r="B315" s="3">
        <v>45656.0</v>
      </c>
      <c r="C315" s="5" t="s">
        <v>12</v>
      </c>
      <c r="D315" s="5" t="s">
        <v>10</v>
      </c>
      <c r="E315" s="6">
        <v>-10000.0</v>
      </c>
      <c r="F315" s="7">
        <f t="shared" si="4"/>
        <v>98367.78</v>
      </c>
      <c r="G315" s="5" t="s">
        <v>192</v>
      </c>
      <c r="H315" s="5"/>
      <c r="I315" s="8">
        <f t="shared" si="1"/>
        <v>12</v>
      </c>
      <c r="J315" s="8">
        <f t="shared" si="2"/>
        <v>2024</v>
      </c>
      <c r="K315" s="8" t="str">
        <f t="shared" si="3"/>
        <v>2024 - 12</v>
      </c>
    </row>
    <row r="316" hidden="1" outlineLevel="1">
      <c r="A316" s="2">
        <v>312.0</v>
      </c>
      <c r="B316" s="3">
        <v>45657.0</v>
      </c>
      <c r="C316" s="5" t="s">
        <v>9</v>
      </c>
      <c r="D316" s="5" t="s">
        <v>10</v>
      </c>
      <c r="E316" s="6">
        <v>250.0</v>
      </c>
      <c r="F316" s="7">
        <f t="shared" si="4"/>
        <v>98617.78</v>
      </c>
      <c r="G316" s="5" t="s">
        <v>193</v>
      </c>
      <c r="H316" s="5"/>
      <c r="I316" s="8">
        <f t="shared" si="1"/>
        <v>12</v>
      </c>
      <c r="J316" s="8">
        <f t="shared" si="2"/>
        <v>2024</v>
      </c>
      <c r="K316" s="8" t="str">
        <f t="shared" si="3"/>
        <v>2024 - 12</v>
      </c>
    </row>
    <row r="317" collapsed="1">
      <c r="A317" s="2">
        <v>313.0</v>
      </c>
      <c r="B317" s="3">
        <v>45658.0</v>
      </c>
      <c r="C317" s="5" t="s">
        <v>35</v>
      </c>
      <c r="D317" s="5" t="s">
        <v>20</v>
      </c>
      <c r="E317" s="6">
        <v>-10000.0</v>
      </c>
      <c r="F317" s="7">
        <f t="shared" si="4"/>
        <v>88617.78</v>
      </c>
      <c r="G317" s="5" t="s">
        <v>36</v>
      </c>
      <c r="H317" s="5"/>
      <c r="I317" s="8">
        <f t="shared" si="1"/>
        <v>1</v>
      </c>
      <c r="J317" s="8">
        <f t="shared" si="2"/>
        <v>2025</v>
      </c>
      <c r="K317" s="8" t="str">
        <f t="shared" si="3"/>
        <v>2025 - 1</v>
      </c>
    </row>
    <row r="318" hidden="1" outlineLevel="1">
      <c r="A318" s="2">
        <v>314.0</v>
      </c>
      <c r="B318" s="3">
        <v>45658.0</v>
      </c>
      <c r="C318" s="5" t="s">
        <v>16</v>
      </c>
      <c r="D318" s="5" t="s">
        <v>10</v>
      </c>
      <c r="E318" s="6">
        <v>-490.0</v>
      </c>
      <c r="F318" s="7">
        <f t="shared" si="4"/>
        <v>88127.78</v>
      </c>
      <c r="G318" s="5" t="s">
        <v>129</v>
      </c>
      <c r="H318" s="5"/>
      <c r="I318" s="8">
        <f t="shared" si="1"/>
        <v>1</v>
      </c>
      <c r="J318" s="8">
        <f t="shared" si="2"/>
        <v>2025</v>
      </c>
      <c r="K318" s="8" t="str">
        <f t="shared" si="3"/>
        <v>2025 - 1</v>
      </c>
    </row>
    <row r="319" hidden="1" outlineLevel="1">
      <c r="A319" s="2">
        <v>315.0</v>
      </c>
      <c r="B319" s="3">
        <v>45659.0</v>
      </c>
      <c r="C319" s="5" t="s">
        <v>18</v>
      </c>
      <c r="D319" s="5" t="s">
        <v>194</v>
      </c>
      <c r="E319" s="6">
        <v>-708.35</v>
      </c>
      <c r="F319" s="7">
        <f t="shared" si="4"/>
        <v>87419.43</v>
      </c>
      <c r="G319" s="5" t="s">
        <v>102</v>
      </c>
      <c r="H319" s="5"/>
      <c r="I319" s="8">
        <f t="shared" si="1"/>
        <v>1</v>
      </c>
      <c r="J319" s="8">
        <f t="shared" si="2"/>
        <v>2025</v>
      </c>
      <c r="K319" s="8" t="str">
        <f t="shared" si="3"/>
        <v>2025 - 1</v>
      </c>
    </row>
    <row r="320" hidden="1" outlineLevel="1">
      <c r="A320" s="2">
        <v>316.0</v>
      </c>
      <c r="B320" s="3">
        <v>45659.0</v>
      </c>
      <c r="C320" s="5" t="s">
        <v>16</v>
      </c>
      <c r="D320" s="5" t="s">
        <v>10</v>
      </c>
      <c r="E320" s="6">
        <v>-2288.0</v>
      </c>
      <c r="F320" s="7">
        <f t="shared" si="4"/>
        <v>85131.43</v>
      </c>
      <c r="G320" s="5" t="s">
        <v>195</v>
      </c>
      <c r="H320" s="5"/>
      <c r="I320" s="8">
        <f t="shared" si="1"/>
        <v>1</v>
      </c>
      <c r="J320" s="8">
        <f t="shared" si="2"/>
        <v>2025</v>
      </c>
      <c r="K320" s="8" t="str">
        <f t="shared" si="3"/>
        <v>2025 - 1</v>
      </c>
    </row>
    <row r="321" hidden="1" outlineLevel="1">
      <c r="A321" s="2">
        <v>317.0</v>
      </c>
      <c r="B321" s="3">
        <v>45660.0</v>
      </c>
      <c r="C321" s="5" t="s">
        <v>9</v>
      </c>
      <c r="D321" s="5" t="s">
        <v>20</v>
      </c>
      <c r="E321" s="6">
        <v>-535.0</v>
      </c>
      <c r="F321" s="7">
        <f t="shared" si="4"/>
        <v>84596.43</v>
      </c>
      <c r="H321" s="5"/>
      <c r="I321" s="8">
        <f t="shared" si="1"/>
        <v>1</v>
      </c>
      <c r="J321" s="8">
        <f t="shared" si="2"/>
        <v>2025</v>
      </c>
      <c r="K321" s="8" t="str">
        <f t="shared" si="3"/>
        <v>2025 - 1</v>
      </c>
    </row>
    <row r="322" hidden="1" outlineLevel="1">
      <c r="A322" s="2">
        <v>318.0</v>
      </c>
      <c r="B322" s="3">
        <v>45660.0</v>
      </c>
      <c r="C322" s="5" t="s">
        <v>31</v>
      </c>
      <c r="D322" s="5" t="s">
        <v>147</v>
      </c>
      <c r="E322" s="6">
        <v>-38.0</v>
      </c>
      <c r="F322" s="7">
        <f t="shared" si="4"/>
        <v>84558.43</v>
      </c>
      <c r="G322" s="5" t="s">
        <v>44</v>
      </c>
      <c r="H322" s="5"/>
      <c r="I322" s="8">
        <f t="shared" si="1"/>
        <v>1</v>
      </c>
      <c r="J322" s="8">
        <f t="shared" si="2"/>
        <v>2025</v>
      </c>
      <c r="K322" s="8" t="str">
        <f t="shared" si="3"/>
        <v>2025 - 1</v>
      </c>
    </row>
    <row r="323" hidden="1" outlineLevel="1">
      <c r="A323" s="2">
        <v>319.0</v>
      </c>
      <c r="B323" s="3">
        <v>45660.0</v>
      </c>
      <c r="C323" s="5" t="s">
        <v>31</v>
      </c>
      <c r="D323" s="5" t="s">
        <v>10</v>
      </c>
      <c r="E323" s="6">
        <v>-194.0</v>
      </c>
      <c r="F323" s="7">
        <f t="shared" si="4"/>
        <v>84364.43</v>
      </c>
      <c r="G323" s="5" t="s">
        <v>32</v>
      </c>
      <c r="H323" s="5"/>
      <c r="I323" s="8">
        <f t="shared" si="1"/>
        <v>1</v>
      </c>
      <c r="J323" s="8">
        <f t="shared" si="2"/>
        <v>2025</v>
      </c>
      <c r="K323" s="8" t="str">
        <f t="shared" si="3"/>
        <v>2025 - 1</v>
      </c>
    </row>
    <row r="324" hidden="1" outlineLevel="1">
      <c r="A324" s="2">
        <v>320.0</v>
      </c>
      <c r="B324" s="3">
        <v>45660.0</v>
      </c>
      <c r="C324" s="5" t="s">
        <v>9</v>
      </c>
      <c r="D324" s="5" t="s">
        <v>20</v>
      </c>
      <c r="E324" s="6">
        <v>-7115.0</v>
      </c>
      <c r="F324" s="7">
        <f t="shared" si="4"/>
        <v>77249.43</v>
      </c>
      <c r="G324" s="5" t="s">
        <v>196</v>
      </c>
      <c r="H324" s="5"/>
      <c r="I324" s="8">
        <f t="shared" si="1"/>
        <v>1</v>
      </c>
      <c r="J324" s="8">
        <f t="shared" si="2"/>
        <v>2025</v>
      </c>
      <c r="K324" s="8" t="str">
        <f t="shared" si="3"/>
        <v>2025 - 1</v>
      </c>
    </row>
    <row r="325" hidden="1" outlineLevel="1">
      <c r="A325" s="2">
        <v>321.0</v>
      </c>
      <c r="B325" s="3">
        <v>45660.0</v>
      </c>
      <c r="C325" s="5" t="s">
        <v>31</v>
      </c>
      <c r="D325" s="5" t="s">
        <v>147</v>
      </c>
      <c r="E325" s="6">
        <v>-38.0</v>
      </c>
      <c r="F325" s="7">
        <f t="shared" si="4"/>
        <v>77211.43</v>
      </c>
      <c r="G325" s="5" t="s">
        <v>44</v>
      </c>
      <c r="H325" s="5"/>
      <c r="I325" s="8">
        <f t="shared" si="1"/>
        <v>1</v>
      </c>
      <c r="J325" s="8">
        <f t="shared" si="2"/>
        <v>2025</v>
      </c>
      <c r="K325" s="8" t="str">
        <f t="shared" si="3"/>
        <v>2025 - 1</v>
      </c>
    </row>
    <row r="326" hidden="1" outlineLevel="1">
      <c r="A326" s="2">
        <v>322.0</v>
      </c>
      <c r="B326" s="3">
        <v>45660.0</v>
      </c>
      <c r="C326" s="5" t="s">
        <v>16</v>
      </c>
      <c r="D326" s="5" t="s">
        <v>20</v>
      </c>
      <c r="E326" s="6">
        <v>-1060.78</v>
      </c>
      <c r="F326" s="7">
        <f t="shared" si="4"/>
        <v>76150.65</v>
      </c>
      <c r="G326" s="5" t="s">
        <v>197</v>
      </c>
      <c r="H326" s="5"/>
      <c r="I326" s="8">
        <f t="shared" si="1"/>
        <v>1</v>
      </c>
      <c r="J326" s="8">
        <f t="shared" si="2"/>
        <v>2025</v>
      </c>
      <c r="K326" s="8" t="str">
        <f t="shared" si="3"/>
        <v>2025 - 1</v>
      </c>
    </row>
    <row r="327" hidden="1" outlineLevel="1">
      <c r="A327" s="2">
        <v>323.0</v>
      </c>
      <c r="B327" s="3">
        <v>45660.0</v>
      </c>
      <c r="C327" s="5" t="s">
        <v>31</v>
      </c>
      <c r="D327" s="5" t="s">
        <v>147</v>
      </c>
      <c r="E327" s="6">
        <v>-229.0</v>
      </c>
      <c r="F327" s="7">
        <f t="shared" si="4"/>
        <v>75921.65</v>
      </c>
      <c r="G327" s="5" t="s">
        <v>32</v>
      </c>
      <c r="H327" s="5"/>
      <c r="I327" s="8">
        <f t="shared" si="1"/>
        <v>1</v>
      </c>
      <c r="J327" s="8">
        <f t="shared" si="2"/>
        <v>2025</v>
      </c>
      <c r="K327" s="8" t="str">
        <f t="shared" si="3"/>
        <v>2025 - 1</v>
      </c>
    </row>
    <row r="328" hidden="1" outlineLevel="1">
      <c r="A328" s="2">
        <v>324.0</v>
      </c>
      <c r="B328" s="3">
        <v>45661.0</v>
      </c>
      <c r="C328" s="5" t="s">
        <v>16</v>
      </c>
      <c r="D328" s="5" t="s">
        <v>10</v>
      </c>
      <c r="E328" s="6">
        <v>-683.22</v>
      </c>
      <c r="F328" s="7">
        <f t="shared" si="4"/>
        <v>75238.43</v>
      </c>
      <c r="G328" s="5" t="s">
        <v>198</v>
      </c>
      <c r="H328" s="5"/>
      <c r="I328" s="8">
        <f t="shared" si="1"/>
        <v>1</v>
      </c>
      <c r="J328" s="8">
        <f t="shared" si="2"/>
        <v>2025</v>
      </c>
      <c r="K328" s="8" t="str">
        <f t="shared" si="3"/>
        <v>2025 - 1</v>
      </c>
    </row>
    <row r="329" hidden="1" outlineLevel="1">
      <c r="A329" s="2">
        <v>325.0</v>
      </c>
      <c r="B329" s="3">
        <v>45662.0</v>
      </c>
      <c r="C329" s="5" t="s">
        <v>35</v>
      </c>
      <c r="D329" s="5" t="s">
        <v>20</v>
      </c>
      <c r="E329" s="6">
        <v>-50000.0</v>
      </c>
      <c r="F329" s="7">
        <f t="shared" si="4"/>
        <v>25238.43</v>
      </c>
      <c r="G329" s="5" t="s">
        <v>36</v>
      </c>
      <c r="H329" s="5"/>
      <c r="I329" s="8">
        <f t="shared" si="1"/>
        <v>1</v>
      </c>
      <c r="J329" s="8">
        <f t="shared" si="2"/>
        <v>2025</v>
      </c>
      <c r="K329" s="8" t="str">
        <f t="shared" si="3"/>
        <v>2025 - 1</v>
      </c>
    </row>
    <row r="330" hidden="1" outlineLevel="1">
      <c r="A330" s="2">
        <v>326.0</v>
      </c>
      <c r="B330" s="3">
        <v>45665.0</v>
      </c>
      <c r="C330" s="5" t="s">
        <v>22</v>
      </c>
      <c r="D330" s="5" t="s">
        <v>10</v>
      </c>
      <c r="E330" s="6">
        <v>-317.99</v>
      </c>
      <c r="F330" s="7">
        <f t="shared" si="4"/>
        <v>24920.44</v>
      </c>
      <c r="G330" s="5"/>
      <c r="H330" s="5"/>
      <c r="I330" s="8">
        <f t="shared" si="1"/>
        <v>1</v>
      </c>
      <c r="J330" s="8">
        <f t="shared" si="2"/>
        <v>2025</v>
      </c>
      <c r="K330" s="8" t="str">
        <f t="shared" si="3"/>
        <v>2025 - 1</v>
      </c>
    </row>
    <row r="331" hidden="1" outlineLevel="1">
      <c r="A331" s="2">
        <v>327.0</v>
      </c>
      <c r="B331" s="3">
        <v>45665.0</v>
      </c>
      <c r="C331" s="5" t="s">
        <v>24</v>
      </c>
      <c r="D331" s="5" t="s">
        <v>39</v>
      </c>
      <c r="E331" s="6">
        <v>3000.0</v>
      </c>
      <c r="F331" s="7">
        <f t="shared" si="4"/>
        <v>27920.44</v>
      </c>
      <c r="G331" s="5" t="s">
        <v>59</v>
      </c>
      <c r="H331" s="5"/>
      <c r="I331" s="8">
        <f t="shared" si="1"/>
        <v>1</v>
      </c>
      <c r="J331" s="8">
        <f t="shared" si="2"/>
        <v>2025</v>
      </c>
      <c r="K331" s="8" t="str">
        <f t="shared" si="3"/>
        <v>2025 - 1</v>
      </c>
    </row>
    <row r="332" hidden="1" outlineLevel="1">
      <c r="A332" s="2">
        <v>328.0</v>
      </c>
      <c r="B332" s="3">
        <v>45667.0</v>
      </c>
      <c r="C332" s="5" t="s">
        <v>24</v>
      </c>
      <c r="D332" s="5" t="s">
        <v>39</v>
      </c>
      <c r="E332" s="6">
        <v>2500.0</v>
      </c>
      <c r="F332" s="7">
        <f t="shared" si="4"/>
        <v>30420.44</v>
      </c>
      <c r="G332" s="5" t="s">
        <v>70</v>
      </c>
      <c r="H332" s="5"/>
      <c r="I332" s="8">
        <f t="shared" si="1"/>
        <v>1</v>
      </c>
      <c r="J332" s="8">
        <f t="shared" si="2"/>
        <v>2025</v>
      </c>
      <c r="K332" s="8" t="str">
        <f t="shared" si="3"/>
        <v>2025 - 1</v>
      </c>
    </row>
    <row r="333" hidden="1" outlineLevel="1">
      <c r="A333" s="2">
        <v>329.0</v>
      </c>
      <c r="B333" s="3">
        <v>45668.0</v>
      </c>
      <c r="C333" s="5" t="s">
        <v>24</v>
      </c>
      <c r="D333" s="5" t="s">
        <v>39</v>
      </c>
      <c r="E333" s="6">
        <v>2130.0</v>
      </c>
      <c r="F333" s="7">
        <f t="shared" si="4"/>
        <v>32550.44</v>
      </c>
      <c r="G333" s="5"/>
      <c r="H333" s="5"/>
      <c r="I333" s="8">
        <f t="shared" si="1"/>
        <v>1</v>
      </c>
      <c r="J333" s="8">
        <f t="shared" si="2"/>
        <v>2025</v>
      </c>
      <c r="K333" s="8" t="str">
        <f t="shared" si="3"/>
        <v>2025 - 1</v>
      </c>
    </row>
    <row r="334" hidden="1" outlineLevel="1">
      <c r="A334" s="2">
        <v>330.0</v>
      </c>
      <c r="B334" s="3">
        <v>45670.0</v>
      </c>
      <c r="C334" s="5" t="s">
        <v>49</v>
      </c>
      <c r="D334" s="5" t="s">
        <v>147</v>
      </c>
      <c r="E334" s="6">
        <v>-2061.46</v>
      </c>
      <c r="F334" s="7">
        <f t="shared" si="4"/>
        <v>30488.98</v>
      </c>
      <c r="G334" s="5" t="s">
        <v>110</v>
      </c>
      <c r="H334" s="5"/>
      <c r="I334" s="8">
        <f t="shared" si="1"/>
        <v>1</v>
      </c>
      <c r="J334" s="8">
        <f t="shared" si="2"/>
        <v>2025</v>
      </c>
      <c r="K334" s="8" t="str">
        <f t="shared" si="3"/>
        <v>2025 - 1</v>
      </c>
    </row>
    <row r="335" hidden="1" outlineLevel="1">
      <c r="A335" s="2">
        <v>331.0</v>
      </c>
      <c r="B335" s="3">
        <v>45671.0</v>
      </c>
      <c r="C335" s="5" t="s">
        <v>24</v>
      </c>
      <c r="D335" s="5" t="s">
        <v>39</v>
      </c>
      <c r="E335" s="6">
        <v>1000.0</v>
      </c>
      <c r="F335" s="7">
        <f t="shared" si="4"/>
        <v>31488.98</v>
      </c>
      <c r="G335" s="5" t="s">
        <v>89</v>
      </c>
      <c r="H335" s="5"/>
      <c r="I335" s="8">
        <f t="shared" si="1"/>
        <v>1</v>
      </c>
      <c r="J335" s="8">
        <f t="shared" si="2"/>
        <v>2025</v>
      </c>
      <c r="K335" s="8" t="str">
        <f t="shared" si="3"/>
        <v>2025 - 1</v>
      </c>
    </row>
    <row r="336" hidden="1" outlineLevel="1">
      <c r="A336" s="2">
        <v>332.0</v>
      </c>
      <c r="B336" s="3">
        <v>45672.0</v>
      </c>
      <c r="C336" s="5" t="s">
        <v>49</v>
      </c>
      <c r="D336" s="5" t="s">
        <v>136</v>
      </c>
      <c r="E336" s="6">
        <v>-649.0</v>
      </c>
      <c r="F336" s="7">
        <f t="shared" si="4"/>
        <v>30839.98</v>
      </c>
      <c r="G336" s="5" t="s">
        <v>50</v>
      </c>
      <c r="H336" s="5"/>
      <c r="I336" s="8">
        <f t="shared" si="1"/>
        <v>1</v>
      </c>
      <c r="J336" s="8">
        <f t="shared" si="2"/>
        <v>2025</v>
      </c>
      <c r="K336" s="8" t="str">
        <f t="shared" si="3"/>
        <v>2025 - 1</v>
      </c>
    </row>
    <row r="337" hidden="1" outlineLevel="1">
      <c r="A337" s="2">
        <v>333.0</v>
      </c>
      <c r="B337" s="3">
        <v>45672.0</v>
      </c>
      <c r="C337" s="5" t="s">
        <v>9</v>
      </c>
      <c r="D337" s="5" t="s">
        <v>10</v>
      </c>
      <c r="E337" s="6">
        <v>-60.0</v>
      </c>
      <c r="F337" s="7">
        <f t="shared" si="4"/>
        <v>30779.98</v>
      </c>
      <c r="G337" s="5" t="s">
        <v>199</v>
      </c>
      <c r="H337" s="5"/>
      <c r="I337" s="8">
        <f t="shared" si="1"/>
        <v>1</v>
      </c>
      <c r="J337" s="8">
        <f t="shared" si="2"/>
        <v>2025</v>
      </c>
      <c r="K337" s="8" t="str">
        <f t="shared" si="3"/>
        <v>2025 - 1</v>
      </c>
    </row>
    <row r="338" hidden="1" outlineLevel="1">
      <c r="A338" s="2">
        <v>334.0</v>
      </c>
      <c r="B338" s="3">
        <v>45672.0</v>
      </c>
      <c r="C338" s="5" t="s">
        <v>9</v>
      </c>
      <c r="D338" s="5" t="s">
        <v>10</v>
      </c>
      <c r="E338" s="6">
        <v>-60.0</v>
      </c>
      <c r="F338" s="7">
        <f t="shared" si="4"/>
        <v>30719.98</v>
      </c>
      <c r="G338" s="5" t="s">
        <v>125</v>
      </c>
      <c r="H338" s="5"/>
      <c r="I338" s="8">
        <f t="shared" si="1"/>
        <v>1</v>
      </c>
      <c r="J338" s="8">
        <f t="shared" si="2"/>
        <v>2025</v>
      </c>
      <c r="K338" s="8" t="str">
        <f t="shared" si="3"/>
        <v>2025 - 1</v>
      </c>
    </row>
    <row r="339" hidden="1" outlineLevel="1">
      <c r="A339" s="2">
        <v>335.0</v>
      </c>
      <c r="B339" s="3">
        <v>45672.0</v>
      </c>
      <c r="C339" s="5" t="s">
        <v>18</v>
      </c>
      <c r="D339" s="5" t="s">
        <v>39</v>
      </c>
      <c r="E339" s="6">
        <v>-129.0</v>
      </c>
      <c r="F339" s="7">
        <f t="shared" si="4"/>
        <v>30590.98</v>
      </c>
      <c r="G339" s="5" t="s">
        <v>200</v>
      </c>
      <c r="H339" s="5"/>
      <c r="I339" s="8">
        <f t="shared" si="1"/>
        <v>1</v>
      </c>
      <c r="J339" s="8">
        <f t="shared" si="2"/>
        <v>2025</v>
      </c>
      <c r="K339" s="8" t="str">
        <f t="shared" si="3"/>
        <v>2025 - 1</v>
      </c>
    </row>
    <row r="340" hidden="1" outlineLevel="1">
      <c r="A340" s="2">
        <v>336.0</v>
      </c>
      <c r="B340" s="3">
        <v>45674.0</v>
      </c>
      <c r="C340" s="5" t="s">
        <v>9</v>
      </c>
      <c r="D340" s="5" t="s">
        <v>10</v>
      </c>
      <c r="E340" s="6">
        <v>-1196.66</v>
      </c>
      <c r="F340" s="7">
        <f t="shared" si="4"/>
        <v>29394.32</v>
      </c>
      <c r="G340" s="5" t="s">
        <v>198</v>
      </c>
      <c r="H340" s="5"/>
      <c r="I340" s="8">
        <f t="shared" si="1"/>
        <v>1</v>
      </c>
      <c r="J340" s="8">
        <f t="shared" si="2"/>
        <v>2025</v>
      </c>
      <c r="K340" s="8" t="str">
        <f t="shared" si="3"/>
        <v>2025 - 1</v>
      </c>
    </row>
    <row r="341" hidden="1" outlineLevel="1">
      <c r="A341" s="2">
        <v>337.0</v>
      </c>
      <c r="B341" s="3">
        <v>45676.0</v>
      </c>
      <c r="C341" s="5" t="s">
        <v>24</v>
      </c>
      <c r="D341" s="5" t="s">
        <v>10</v>
      </c>
      <c r="E341" s="6">
        <v>330.0</v>
      </c>
      <c r="F341" s="7">
        <f t="shared" si="4"/>
        <v>29724.32</v>
      </c>
      <c r="G341" s="5" t="s">
        <v>201</v>
      </c>
      <c r="H341" s="5"/>
      <c r="I341" s="8">
        <f t="shared" si="1"/>
        <v>1</v>
      </c>
      <c r="J341" s="8">
        <f t="shared" si="2"/>
        <v>2025</v>
      </c>
      <c r="K341" s="8" t="str">
        <f t="shared" si="3"/>
        <v>2025 - 1</v>
      </c>
    </row>
    <row r="342" hidden="1" outlineLevel="1">
      <c r="A342" s="2">
        <v>338.0</v>
      </c>
      <c r="B342" s="3">
        <v>45676.0</v>
      </c>
      <c r="C342" s="5" t="s">
        <v>24</v>
      </c>
      <c r="D342" s="5" t="s">
        <v>10</v>
      </c>
      <c r="E342" s="6">
        <v>165.0</v>
      </c>
      <c r="F342" s="7">
        <f t="shared" si="4"/>
        <v>29889.32</v>
      </c>
      <c r="G342" s="5" t="s">
        <v>202</v>
      </c>
      <c r="H342" s="5"/>
      <c r="I342" s="8">
        <f t="shared" si="1"/>
        <v>1</v>
      </c>
      <c r="J342" s="8">
        <f t="shared" si="2"/>
        <v>2025</v>
      </c>
      <c r="K342" s="8" t="str">
        <f t="shared" si="3"/>
        <v>2025 - 1</v>
      </c>
    </row>
    <row r="343" hidden="1" outlineLevel="1">
      <c r="A343" s="2">
        <v>339.0</v>
      </c>
      <c r="B343" s="3">
        <v>45680.0</v>
      </c>
      <c r="C343" s="5" t="s">
        <v>38</v>
      </c>
      <c r="D343" s="5" t="s">
        <v>13</v>
      </c>
      <c r="E343" s="6">
        <v>-2554.0</v>
      </c>
      <c r="F343" s="7">
        <f t="shared" si="4"/>
        <v>27335.32</v>
      </c>
      <c r="G343" s="5" t="s">
        <v>203</v>
      </c>
      <c r="H343" s="5"/>
      <c r="I343" s="8">
        <f t="shared" si="1"/>
        <v>1</v>
      </c>
      <c r="J343" s="8">
        <f t="shared" si="2"/>
        <v>2025</v>
      </c>
      <c r="K343" s="8" t="str">
        <f t="shared" si="3"/>
        <v>2025 - 1</v>
      </c>
    </row>
    <row r="344" hidden="1" outlineLevel="1">
      <c r="A344" s="2">
        <v>340.0</v>
      </c>
      <c r="B344" s="3">
        <v>45680.0</v>
      </c>
      <c r="C344" s="5" t="s">
        <v>38</v>
      </c>
      <c r="D344" s="5" t="s">
        <v>10</v>
      </c>
      <c r="E344" s="6">
        <v>-255.4</v>
      </c>
      <c r="F344" s="7">
        <f t="shared" si="4"/>
        <v>27079.92</v>
      </c>
      <c r="G344" s="5" t="s">
        <v>203</v>
      </c>
      <c r="H344" s="5"/>
      <c r="I344" s="8">
        <f t="shared" si="1"/>
        <v>1</v>
      </c>
      <c r="J344" s="8">
        <f t="shared" si="2"/>
        <v>2025</v>
      </c>
      <c r="K344" s="8" t="str">
        <f t="shared" si="3"/>
        <v>2025 - 1</v>
      </c>
    </row>
    <row r="345" hidden="1" outlineLevel="1">
      <c r="A345" s="2">
        <v>341.0</v>
      </c>
      <c r="B345" s="3">
        <v>45681.0</v>
      </c>
      <c r="C345" s="5" t="s">
        <v>16</v>
      </c>
      <c r="D345" s="5" t="s">
        <v>10</v>
      </c>
      <c r="E345" s="6">
        <v>-1098.0</v>
      </c>
      <c r="F345" s="7">
        <f t="shared" si="4"/>
        <v>25981.92</v>
      </c>
      <c r="G345" s="5" t="s">
        <v>204</v>
      </c>
      <c r="H345" s="5"/>
      <c r="I345" s="8">
        <f t="shared" si="1"/>
        <v>1</v>
      </c>
      <c r="J345" s="8">
        <f t="shared" si="2"/>
        <v>2025</v>
      </c>
      <c r="K345" s="8" t="str">
        <f t="shared" si="3"/>
        <v>2025 - 1</v>
      </c>
    </row>
    <row r="346" hidden="1" outlineLevel="1">
      <c r="A346" s="2">
        <v>342.0</v>
      </c>
      <c r="B346" s="3">
        <v>45682.0</v>
      </c>
      <c r="C346" s="5" t="s">
        <v>9</v>
      </c>
      <c r="D346" s="5" t="s">
        <v>10</v>
      </c>
      <c r="E346" s="6">
        <v>-1000.0</v>
      </c>
      <c r="F346" s="7">
        <f t="shared" si="4"/>
        <v>24981.92</v>
      </c>
      <c r="G346" s="5" t="s">
        <v>70</v>
      </c>
      <c r="H346" s="5"/>
      <c r="I346" s="8">
        <f t="shared" si="1"/>
        <v>1</v>
      </c>
      <c r="J346" s="8">
        <f t="shared" si="2"/>
        <v>2025</v>
      </c>
      <c r="K346" s="8" t="str">
        <f t="shared" si="3"/>
        <v>2025 - 1</v>
      </c>
    </row>
    <row r="347" hidden="1" outlineLevel="1">
      <c r="A347" s="2">
        <v>343.0</v>
      </c>
      <c r="B347" s="3">
        <v>45682.0</v>
      </c>
      <c r="C347" s="5" t="s">
        <v>105</v>
      </c>
      <c r="D347" s="5" t="s">
        <v>10</v>
      </c>
      <c r="E347" s="6">
        <v>500.0</v>
      </c>
      <c r="F347" s="7">
        <f t="shared" si="4"/>
        <v>25481.92</v>
      </c>
      <c r="G347" s="5" t="s">
        <v>70</v>
      </c>
      <c r="H347" s="5"/>
      <c r="I347" s="8">
        <f t="shared" si="1"/>
        <v>1</v>
      </c>
      <c r="J347" s="8">
        <f t="shared" si="2"/>
        <v>2025</v>
      </c>
      <c r="K347" s="8" t="str">
        <f t="shared" si="3"/>
        <v>2025 - 1</v>
      </c>
    </row>
    <row r="348" hidden="1" outlineLevel="1">
      <c r="A348" s="2">
        <v>344.0</v>
      </c>
      <c r="B348" s="3">
        <v>45683.0</v>
      </c>
      <c r="C348" s="5" t="s">
        <v>9</v>
      </c>
      <c r="D348" s="5" t="s">
        <v>10</v>
      </c>
      <c r="E348" s="6">
        <v>1200.0</v>
      </c>
      <c r="F348" s="7">
        <f t="shared" si="4"/>
        <v>26681.92</v>
      </c>
      <c r="G348" s="5"/>
      <c r="H348" s="5"/>
      <c r="I348" s="8">
        <f t="shared" si="1"/>
        <v>1</v>
      </c>
      <c r="J348" s="8">
        <f t="shared" si="2"/>
        <v>2025</v>
      </c>
      <c r="K348" s="8" t="str">
        <f t="shared" si="3"/>
        <v>2025 - 1</v>
      </c>
    </row>
    <row r="349" hidden="1" outlineLevel="1">
      <c r="A349" s="2">
        <v>345.0</v>
      </c>
      <c r="B349" s="3">
        <v>45683.0</v>
      </c>
      <c r="C349" s="5" t="s">
        <v>31</v>
      </c>
      <c r="D349" s="5" t="s">
        <v>10</v>
      </c>
      <c r="E349" s="6">
        <v>-197.0</v>
      </c>
      <c r="F349" s="7">
        <f t="shared" si="4"/>
        <v>26484.92</v>
      </c>
      <c r="G349" s="5" t="s">
        <v>32</v>
      </c>
      <c r="H349" s="5"/>
      <c r="I349" s="8">
        <f t="shared" si="1"/>
        <v>1</v>
      </c>
      <c r="J349" s="8">
        <f t="shared" si="2"/>
        <v>2025</v>
      </c>
      <c r="K349" s="8" t="str">
        <f t="shared" si="3"/>
        <v>2025 - 1</v>
      </c>
    </row>
    <row r="350" hidden="1" outlineLevel="1">
      <c r="A350" s="2">
        <v>346.0</v>
      </c>
      <c r="B350" s="3">
        <v>45683.0</v>
      </c>
      <c r="C350" s="5" t="s">
        <v>31</v>
      </c>
      <c r="D350" s="5" t="s">
        <v>10</v>
      </c>
      <c r="E350" s="6">
        <v>-76.0</v>
      </c>
      <c r="F350" s="7">
        <f t="shared" si="4"/>
        <v>26408.92</v>
      </c>
      <c r="G350" s="5" t="s">
        <v>44</v>
      </c>
      <c r="H350" s="5"/>
      <c r="I350" s="8">
        <f t="shared" si="1"/>
        <v>1</v>
      </c>
      <c r="J350" s="8">
        <f t="shared" si="2"/>
        <v>2025</v>
      </c>
      <c r="K350" s="8" t="str">
        <f t="shared" si="3"/>
        <v>2025 - 1</v>
      </c>
    </row>
    <row r="351" hidden="1" outlineLevel="1">
      <c r="A351" s="2">
        <v>347.0</v>
      </c>
      <c r="B351" s="3">
        <v>45683.0</v>
      </c>
      <c r="C351" s="5" t="s">
        <v>31</v>
      </c>
      <c r="D351" s="5" t="s">
        <v>10</v>
      </c>
      <c r="E351" s="6">
        <v>-76.0</v>
      </c>
      <c r="F351" s="7">
        <f t="shared" si="4"/>
        <v>26332.92</v>
      </c>
      <c r="G351" s="5" t="s">
        <v>44</v>
      </c>
      <c r="H351" s="5"/>
      <c r="I351" s="8">
        <f t="shared" si="1"/>
        <v>1</v>
      </c>
      <c r="J351" s="8">
        <f t="shared" si="2"/>
        <v>2025</v>
      </c>
      <c r="K351" s="8" t="str">
        <f t="shared" si="3"/>
        <v>2025 - 1</v>
      </c>
    </row>
    <row r="352" hidden="1" outlineLevel="1">
      <c r="A352" s="2">
        <v>348.0</v>
      </c>
      <c r="B352" s="3">
        <v>45683.0</v>
      </c>
      <c r="C352" s="5" t="s">
        <v>35</v>
      </c>
      <c r="D352" s="5" t="s">
        <v>147</v>
      </c>
      <c r="E352" s="6">
        <v>-7000.0</v>
      </c>
      <c r="F352" s="7">
        <f t="shared" si="4"/>
        <v>19332.92</v>
      </c>
      <c r="G352" s="5" t="s">
        <v>36</v>
      </c>
      <c r="H352" s="5"/>
      <c r="I352" s="8">
        <f t="shared" si="1"/>
        <v>1</v>
      </c>
      <c r="J352" s="8">
        <f t="shared" si="2"/>
        <v>2025</v>
      </c>
      <c r="K352" s="8" t="str">
        <f t="shared" si="3"/>
        <v>2025 - 1</v>
      </c>
    </row>
    <row r="353" hidden="1" outlineLevel="1">
      <c r="A353" s="2">
        <v>349.0</v>
      </c>
      <c r="B353" s="3">
        <v>45683.0</v>
      </c>
      <c r="C353" s="5" t="s">
        <v>38</v>
      </c>
      <c r="D353" s="5" t="s">
        <v>194</v>
      </c>
      <c r="E353" s="6">
        <v>-200.0</v>
      </c>
      <c r="F353" s="7">
        <f t="shared" si="4"/>
        <v>19132.92</v>
      </c>
      <c r="G353" s="5" t="s">
        <v>205</v>
      </c>
      <c r="H353" s="5"/>
      <c r="I353" s="8">
        <f t="shared" si="1"/>
        <v>1</v>
      </c>
      <c r="J353" s="8">
        <f t="shared" si="2"/>
        <v>2025</v>
      </c>
      <c r="K353" s="8" t="str">
        <f t="shared" si="3"/>
        <v>2025 - 1</v>
      </c>
    </row>
    <row r="354" hidden="1" outlineLevel="1">
      <c r="A354" s="2">
        <v>350.0</v>
      </c>
      <c r="B354" s="3">
        <v>45683.0</v>
      </c>
      <c r="C354" s="5" t="s">
        <v>31</v>
      </c>
      <c r="D354" s="5" t="s">
        <v>10</v>
      </c>
      <c r="E354" s="6">
        <v>-83.6</v>
      </c>
      <c r="F354" s="7">
        <f t="shared" si="4"/>
        <v>19049.32</v>
      </c>
      <c r="G354" s="5" t="s">
        <v>44</v>
      </c>
      <c r="H354" s="5"/>
      <c r="I354" s="8">
        <f t="shared" si="1"/>
        <v>1</v>
      </c>
      <c r="J354" s="8">
        <f t="shared" si="2"/>
        <v>2025</v>
      </c>
      <c r="K354" s="8" t="str">
        <f t="shared" si="3"/>
        <v>2025 - 1</v>
      </c>
    </row>
    <row r="355" hidden="1" outlineLevel="1">
      <c r="A355" s="2">
        <v>351.0</v>
      </c>
      <c r="B355" s="3">
        <v>45683.0</v>
      </c>
      <c r="C355" s="5" t="s">
        <v>18</v>
      </c>
      <c r="D355" s="5" t="s">
        <v>39</v>
      </c>
      <c r="E355" s="6">
        <v>-200.0</v>
      </c>
      <c r="F355" s="7">
        <f t="shared" si="4"/>
        <v>18849.32</v>
      </c>
      <c r="H355" s="5"/>
      <c r="I355" s="8">
        <f t="shared" ref="I355:I370" si="5">IF(ISBLANK(A355), "", MONTH(B356))</f>
        <v>1</v>
      </c>
      <c r="J355" s="8">
        <f t="shared" ref="J355:J370" si="6">IF(ISBLANK(A355), "",  YEAR(B356))</f>
        <v>2025</v>
      </c>
      <c r="K355" s="8" t="str">
        <f t="shared" si="3"/>
        <v>2025 - 1</v>
      </c>
    </row>
    <row r="356" hidden="1" outlineLevel="1">
      <c r="A356" s="2">
        <v>352.0</v>
      </c>
      <c r="B356" s="3">
        <v>45683.0</v>
      </c>
      <c r="C356" s="5" t="s">
        <v>18</v>
      </c>
      <c r="D356" s="5" t="s">
        <v>39</v>
      </c>
      <c r="E356" s="6">
        <v>-450.0</v>
      </c>
      <c r="F356" s="7">
        <f t="shared" si="4"/>
        <v>18399.32</v>
      </c>
      <c r="G356" s="5"/>
      <c r="H356" s="5"/>
      <c r="I356" s="8">
        <f t="shared" si="5"/>
        <v>1</v>
      </c>
      <c r="J356" s="8">
        <f t="shared" si="6"/>
        <v>2025</v>
      </c>
      <c r="K356" s="8" t="str">
        <f t="shared" si="3"/>
        <v>2025 - 1</v>
      </c>
    </row>
    <row r="357" hidden="1" outlineLevel="1">
      <c r="A357" s="2">
        <v>353.0</v>
      </c>
      <c r="B357" s="3">
        <v>45683.0</v>
      </c>
      <c r="C357" s="5" t="s">
        <v>18</v>
      </c>
      <c r="D357" s="5" t="s">
        <v>39</v>
      </c>
      <c r="E357" s="6">
        <v>-50.0</v>
      </c>
      <c r="F357" s="7">
        <f t="shared" si="4"/>
        <v>18349.32</v>
      </c>
      <c r="G357" s="5"/>
      <c r="H357" s="5"/>
      <c r="I357" s="8">
        <f t="shared" si="5"/>
        <v>1</v>
      </c>
      <c r="J357" s="8">
        <f t="shared" si="6"/>
        <v>2025</v>
      </c>
      <c r="K357" s="8" t="str">
        <f t="shared" si="3"/>
        <v>2025 - 1</v>
      </c>
    </row>
    <row r="358" hidden="1" outlineLevel="1">
      <c r="A358" s="2">
        <v>354.0</v>
      </c>
      <c r="B358" s="3">
        <v>45683.0</v>
      </c>
      <c r="C358" s="5" t="s">
        <v>18</v>
      </c>
      <c r="D358" s="5" t="s">
        <v>39</v>
      </c>
      <c r="E358" s="6">
        <v>-300.0</v>
      </c>
      <c r="F358" s="7">
        <f t="shared" si="4"/>
        <v>18049.32</v>
      </c>
      <c r="G358" s="5"/>
      <c r="H358" s="5"/>
      <c r="I358" s="8">
        <f t="shared" si="5"/>
        <v>1</v>
      </c>
      <c r="J358" s="8">
        <f t="shared" si="6"/>
        <v>2025</v>
      </c>
      <c r="K358" s="8" t="str">
        <f t="shared" si="3"/>
        <v>2025 - 1</v>
      </c>
    </row>
    <row r="359" hidden="1" outlineLevel="1">
      <c r="A359" s="2">
        <v>355.0</v>
      </c>
      <c r="B359" s="3">
        <v>45683.0</v>
      </c>
      <c r="C359" s="5" t="s">
        <v>31</v>
      </c>
      <c r="D359" s="5" t="s">
        <v>39</v>
      </c>
      <c r="E359" s="6">
        <v>-125.0</v>
      </c>
      <c r="F359" s="7">
        <f t="shared" si="4"/>
        <v>17924.32</v>
      </c>
      <c r="G359" s="5" t="s">
        <v>206</v>
      </c>
      <c r="H359" s="5"/>
      <c r="I359" s="8">
        <f t="shared" si="5"/>
        <v>1</v>
      </c>
      <c r="J359" s="8">
        <f t="shared" si="6"/>
        <v>2025</v>
      </c>
      <c r="K359" s="8" t="str">
        <f t="shared" si="3"/>
        <v>2025 - 1</v>
      </c>
    </row>
    <row r="360" hidden="1" outlineLevel="1">
      <c r="A360" s="2">
        <v>356.0</v>
      </c>
      <c r="B360" s="3">
        <v>45683.0</v>
      </c>
      <c r="C360" s="5" t="s">
        <v>31</v>
      </c>
      <c r="D360" s="5" t="s">
        <v>39</v>
      </c>
      <c r="E360" s="6">
        <v>-83.0</v>
      </c>
      <c r="F360" s="7">
        <f t="shared" si="4"/>
        <v>17841.32</v>
      </c>
      <c r="G360" s="5"/>
      <c r="H360" s="5"/>
      <c r="I360" s="8">
        <f t="shared" si="5"/>
        <v>1</v>
      </c>
      <c r="J360" s="8">
        <f t="shared" si="6"/>
        <v>2025</v>
      </c>
      <c r="K360" s="8" t="str">
        <f t="shared" si="3"/>
        <v>2025 - 1</v>
      </c>
    </row>
    <row r="361" hidden="1" outlineLevel="1">
      <c r="A361" s="2">
        <v>357.0</v>
      </c>
      <c r="B361" s="3">
        <v>45683.0</v>
      </c>
      <c r="C361" s="5" t="s">
        <v>31</v>
      </c>
      <c r="D361" s="5" t="s">
        <v>39</v>
      </c>
      <c r="E361" s="6">
        <v>-71.25</v>
      </c>
      <c r="F361" s="7">
        <f t="shared" si="4"/>
        <v>17770.07</v>
      </c>
      <c r="G361" s="5"/>
      <c r="H361" s="5"/>
      <c r="I361" s="8">
        <f t="shared" si="5"/>
        <v>1</v>
      </c>
      <c r="J361" s="8">
        <f t="shared" si="6"/>
        <v>2025</v>
      </c>
      <c r="K361" s="8" t="str">
        <f t="shared" si="3"/>
        <v>2025 - 1</v>
      </c>
    </row>
    <row r="362" hidden="1" outlineLevel="1">
      <c r="A362" s="2">
        <v>358.0</v>
      </c>
      <c r="B362" s="3">
        <v>45683.0</v>
      </c>
      <c r="C362" s="5" t="s">
        <v>31</v>
      </c>
      <c r="D362" s="5" t="s">
        <v>39</v>
      </c>
      <c r="E362" s="6">
        <v>-217.0</v>
      </c>
      <c r="F362" s="7">
        <f t="shared" si="4"/>
        <v>17553.07</v>
      </c>
      <c r="G362" s="5"/>
      <c r="H362" s="5"/>
      <c r="I362" s="8">
        <f t="shared" si="5"/>
        <v>1</v>
      </c>
      <c r="J362" s="8">
        <f t="shared" si="6"/>
        <v>2025</v>
      </c>
      <c r="K362" s="8" t="str">
        <f t="shared" si="3"/>
        <v>2025 - 1</v>
      </c>
    </row>
    <row r="363" hidden="1" outlineLevel="1">
      <c r="A363" s="2">
        <v>359.0</v>
      </c>
      <c r="B363" s="3">
        <v>45684.0</v>
      </c>
      <c r="C363" s="5" t="s">
        <v>16</v>
      </c>
      <c r="D363" s="5" t="s">
        <v>10</v>
      </c>
      <c r="E363" s="6">
        <v>-898.0</v>
      </c>
      <c r="F363" s="7">
        <f t="shared" si="4"/>
        <v>16655.07</v>
      </c>
      <c r="G363" s="5" t="s">
        <v>207</v>
      </c>
      <c r="H363" s="5"/>
      <c r="I363" s="8">
        <f t="shared" si="5"/>
        <v>1</v>
      </c>
      <c r="J363" s="8">
        <f t="shared" si="6"/>
        <v>2025</v>
      </c>
      <c r="K363" s="8" t="str">
        <f t="shared" si="3"/>
        <v>2025 - 1</v>
      </c>
    </row>
    <row r="364" hidden="1" outlineLevel="1">
      <c r="A364" s="2">
        <v>360.0</v>
      </c>
      <c r="B364" s="3">
        <v>45684.0</v>
      </c>
      <c r="C364" s="5" t="s">
        <v>24</v>
      </c>
      <c r="D364" s="5" t="s">
        <v>13</v>
      </c>
      <c r="E364" s="6">
        <v>510.0</v>
      </c>
      <c r="F364" s="7">
        <f t="shared" si="4"/>
        <v>17165.07</v>
      </c>
      <c r="G364" s="5" t="s">
        <v>208</v>
      </c>
      <c r="H364" s="5"/>
      <c r="I364" s="8">
        <f t="shared" si="5"/>
        <v>1</v>
      </c>
      <c r="J364" s="8">
        <f t="shared" si="6"/>
        <v>2025</v>
      </c>
      <c r="K364" s="8" t="str">
        <f t="shared" si="3"/>
        <v>2025 - 1</v>
      </c>
    </row>
    <row r="365" hidden="1" outlineLevel="1">
      <c r="A365" s="2">
        <v>361.0</v>
      </c>
      <c r="B365" s="3">
        <v>45687.0</v>
      </c>
      <c r="C365" s="5" t="s">
        <v>22</v>
      </c>
      <c r="D365" s="5" t="s">
        <v>10</v>
      </c>
      <c r="E365" s="6">
        <v>-300.0</v>
      </c>
      <c r="F365" s="7">
        <f t="shared" si="4"/>
        <v>16865.07</v>
      </c>
      <c r="G365" s="5"/>
      <c r="H365" s="5"/>
      <c r="I365" s="8">
        <f t="shared" si="5"/>
        <v>1</v>
      </c>
      <c r="J365" s="8">
        <f t="shared" si="6"/>
        <v>2025</v>
      </c>
      <c r="K365" s="8" t="str">
        <f t="shared" si="3"/>
        <v>2025 - 1</v>
      </c>
    </row>
    <row r="366" hidden="1" outlineLevel="1">
      <c r="A366" s="2">
        <v>362.0</v>
      </c>
      <c r="B366" s="3">
        <v>45687.0</v>
      </c>
      <c r="C366" s="5" t="s">
        <v>16</v>
      </c>
      <c r="D366" s="5" t="s">
        <v>20</v>
      </c>
      <c r="E366" s="6">
        <v>-1799.0</v>
      </c>
      <c r="F366" s="7">
        <f t="shared" si="4"/>
        <v>15066.07</v>
      </c>
      <c r="G366" s="5" t="s">
        <v>209</v>
      </c>
      <c r="H366" s="5"/>
      <c r="I366" s="8">
        <f t="shared" si="5"/>
        <v>1</v>
      </c>
      <c r="J366" s="8">
        <f t="shared" si="6"/>
        <v>2025</v>
      </c>
      <c r="K366" s="8" t="str">
        <f t="shared" si="3"/>
        <v>2025 - 1</v>
      </c>
    </row>
    <row r="367" hidden="1" outlineLevel="1">
      <c r="A367" s="2">
        <v>363.0</v>
      </c>
      <c r="B367" s="3">
        <v>45688.0</v>
      </c>
      <c r="C367" s="5" t="s">
        <v>24</v>
      </c>
      <c r="D367" s="5" t="s">
        <v>13</v>
      </c>
      <c r="E367" s="6">
        <v>592.0</v>
      </c>
      <c r="F367" s="7">
        <f t="shared" si="4"/>
        <v>15658.07</v>
      </c>
      <c r="G367" s="5" t="s">
        <v>127</v>
      </c>
      <c r="H367" s="5"/>
      <c r="I367" s="8">
        <f t="shared" si="5"/>
        <v>1</v>
      </c>
      <c r="J367" s="8">
        <f t="shared" si="6"/>
        <v>2025</v>
      </c>
      <c r="K367" s="8" t="str">
        <f t="shared" si="3"/>
        <v>2025 - 1</v>
      </c>
    </row>
    <row r="368" hidden="1" outlineLevel="1">
      <c r="A368" s="2">
        <v>364.0</v>
      </c>
      <c r="B368" s="3">
        <v>45688.0</v>
      </c>
      <c r="C368" s="5" t="s">
        <v>18</v>
      </c>
      <c r="D368" s="5" t="s">
        <v>39</v>
      </c>
      <c r="E368" s="6">
        <v>-617.0</v>
      </c>
      <c r="F368" s="7">
        <f t="shared" si="4"/>
        <v>15041.07</v>
      </c>
      <c r="G368" s="5"/>
      <c r="H368" s="5"/>
      <c r="I368" s="8">
        <f t="shared" si="5"/>
        <v>1</v>
      </c>
      <c r="J368" s="8">
        <f t="shared" si="6"/>
        <v>2025</v>
      </c>
      <c r="K368" s="8" t="str">
        <f t="shared" si="3"/>
        <v>2025 - 1</v>
      </c>
    </row>
    <row r="369" hidden="1" outlineLevel="1">
      <c r="A369" s="1">
        <v>365.0</v>
      </c>
      <c r="B369" s="25">
        <v>45688.0</v>
      </c>
      <c r="C369" s="26" t="s">
        <v>18</v>
      </c>
      <c r="D369" s="26" t="s">
        <v>39</v>
      </c>
      <c r="E369" s="27">
        <v>-361.45</v>
      </c>
      <c r="F369" s="28">
        <f t="shared" si="4"/>
        <v>14679.62</v>
      </c>
      <c r="G369" s="26"/>
      <c r="H369" s="26"/>
      <c r="I369" s="29">
        <f t="shared" si="5"/>
        <v>2</v>
      </c>
      <c r="J369" s="29">
        <f t="shared" si="6"/>
        <v>2025</v>
      </c>
      <c r="K369" s="29" t="str">
        <f t="shared" si="3"/>
        <v>2025 - 2</v>
      </c>
    </row>
    <row r="370">
      <c r="A370" s="13">
        <v>366.0</v>
      </c>
      <c r="B370" s="14">
        <v>45691.0</v>
      </c>
      <c r="C370" s="15" t="s">
        <v>101</v>
      </c>
      <c r="D370" s="15" t="s">
        <v>10</v>
      </c>
      <c r="E370" s="16">
        <v>79533.0</v>
      </c>
      <c r="F370" s="17">
        <f t="shared" si="4"/>
        <v>94212.62</v>
      </c>
      <c r="G370" s="15"/>
      <c r="H370" s="15"/>
      <c r="I370" s="18">
        <f t="shared" si="5"/>
        <v>2</v>
      </c>
      <c r="J370" s="18">
        <f t="shared" si="6"/>
        <v>2025</v>
      </c>
      <c r="K370" s="18" t="str">
        <f t="shared" si="3"/>
        <v>2025 - 2</v>
      </c>
    </row>
    <row r="371" outlineLevel="1">
      <c r="A371" s="2">
        <v>367.0</v>
      </c>
      <c r="B371" s="3">
        <v>45692.0</v>
      </c>
      <c r="C371" s="5" t="s">
        <v>9</v>
      </c>
      <c r="D371" s="5" t="s">
        <v>10</v>
      </c>
      <c r="E371" s="6">
        <v>-699.0</v>
      </c>
      <c r="F371" s="7">
        <f t="shared" si="4"/>
        <v>93513.62</v>
      </c>
      <c r="G371" s="5" t="s">
        <v>210</v>
      </c>
      <c r="H371" s="5"/>
      <c r="I371" s="8">
        <f t="shared" ref="I371:I1032" si="7">IF(ISBLANK(A371), "", MONTH(B371))</f>
        <v>2</v>
      </c>
      <c r="J371" s="8">
        <f t="shared" ref="J371:J1032" si="8">IF(ISBLANK(A371), "",  YEAR(B371))</f>
        <v>2025</v>
      </c>
      <c r="K371" s="8" t="str">
        <f t="shared" si="3"/>
        <v>2025 - 2</v>
      </c>
    </row>
    <row r="372" outlineLevel="1">
      <c r="A372" s="2">
        <v>368.0</v>
      </c>
      <c r="B372" s="3">
        <v>45692.0</v>
      </c>
      <c r="C372" s="5" t="s">
        <v>9</v>
      </c>
      <c r="D372" s="5" t="s">
        <v>10</v>
      </c>
      <c r="E372" s="6">
        <v>-800.0</v>
      </c>
      <c r="F372" s="7">
        <f t="shared" si="4"/>
        <v>92713.62</v>
      </c>
      <c r="G372" s="5" t="s">
        <v>210</v>
      </c>
      <c r="H372" s="5"/>
      <c r="I372" s="8">
        <f t="shared" si="7"/>
        <v>2</v>
      </c>
      <c r="J372" s="8">
        <f t="shared" si="8"/>
        <v>2025</v>
      </c>
      <c r="K372" s="8" t="str">
        <f t="shared" si="3"/>
        <v>2025 - 2</v>
      </c>
    </row>
    <row r="373" outlineLevel="1">
      <c r="A373" s="2">
        <v>369.0</v>
      </c>
      <c r="B373" s="3">
        <v>45694.0</v>
      </c>
      <c r="C373" s="5" t="s">
        <v>24</v>
      </c>
      <c r="D373" s="5" t="s">
        <v>13</v>
      </c>
      <c r="E373" s="6">
        <v>255.0</v>
      </c>
      <c r="F373" s="7">
        <f t="shared" si="4"/>
        <v>92968.62</v>
      </c>
      <c r="G373" s="5" t="s">
        <v>70</v>
      </c>
      <c r="H373" s="5"/>
      <c r="I373" s="8">
        <f t="shared" si="7"/>
        <v>2</v>
      </c>
      <c r="J373" s="8">
        <f t="shared" si="8"/>
        <v>2025</v>
      </c>
      <c r="K373" s="8" t="str">
        <f t="shared" si="3"/>
        <v>2025 - 2</v>
      </c>
    </row>
    <row r="374" outlineLevel="1">
      <c r="A374" s="2">
        <v>370.0</v>
      </c>
      <c r="B374" s="3">
        <v>45694.0</v>
      </c>
      <c r="C374" s="5" t="s">
        <v>9</v>
      </c>
      <c r="D374" s="5" t="s">
        <v>20</v>
      </c>
      <c r="E374" s="6">
        <v>-148.0</v>
      </c>
      <c r="F374" s="7">
        <f t="shared" si="4"/>
        <v>92820.62</v>
      </c>
      <c r="G374" s="5" t="s">
        <v>211</v>
      </c>
      <c r="H374" s="5"/>
      <c r="I374" s="8">
        <f t="shared" si="7"/>
        <v>2</v>
      </c>
      <c r="J374" s="8">
        <f t="shared" si="8"/>
        <v>2025</v>
      </c>
      <c r="K374" s="8" t="str">
        <f t="shared" si="3"/>
        <v>2025 - 2</v>
      </c>
    </row>
    <row r="375" outlineLevel="1">
      <c r="A375" s="2">
        <v>371.0</v>
      </c>
      <c r="B375" s="3">
        <v>45694.0</v>
      </c>
      <c r="C375" s="5" t="s">
        <v>9</v>
      </c>
      <c r="D375" s="5" t="s">
        <v>10</v>
      </c>
      <c r="E375" s="6">
        <v>-100.0</v>
      </c>
      <c r="F375" s="7">
        <f t="shared" si="4"/>
        <v>92720.62</v>
      </c>
      <c r="G375" s="5"/>
      <c r="H375" s="5"/>
      <c r="I375" s="8">
        <f t="shared" si="7"/>
        <v>2</v>
      </c>
      <c r="J375" s="8">
        <f t="shared" si="8"/>
        <v>2025</v>
      </c>
      <c r="K375" s="8" t="str">
        <f t="shared" si="3"/>
        <v>2025 - 2</v>
      </c>
    </row>
    <row r="376" outlineLevel="1">
      <c r="A376" s="2">
        <v>372.0</v>
      </c>
      <c r="B376" s="3">
        <v>45695.0</v>
      </c>
      <c r="C376" s="5" t="s">
        <v>9</v>
      </c>
      <c r="D376" s="5" t="s">
        <v>10</v>
      </c>
      <c r="E376" s="6">
        <v>-549.0</v>
      </c>
      <c r="F376" s="7">
        <f t="shared" si="4"/>
        <v>92171.62</v>
      </c>
      <c r="G376" s="5" t="s">
        <v>212</v>
      </c>
      <c r="H376" s="5"/>
      <c r="I376" s="8">
        <f t="shared" si="7"/>
        <v>2</v>
      </c>
      <c r="J376" s="8">
        <f t="shared" si="8"/>
        <v>2025</v>
      </c>
      <c r="K376" s="8" t="str">
        <f t="shared" si="3"/>
        <v>2025 - 2</v>
      </c>
    </row>
    <row r="377" outlineLevel="1">
      <c r="A377" s="2">
        <v>373.0</v>
      </c>
      <c r="B377" s="3">
        <v>45695.0</v>
      </c>
      <c r="C377" s="5" t="s">
        <v>16</v>
      </c>
      <c r="D377" s="5" t="s">
        <v>147</v>
      </c>
      <c r="E377" s="6">
        <v>-749.0</v>
      </c>
      <c r="F377" s="7">
        <f t="shared" si="4"/>
        <v>91422.62</v>
      </c>
      <c r="G377" s="5"/>
      <c r="H377" s="5"/>
      <c r="I377" s="8">
        <f t="shared" si="7"/>
        <v>2</v>
      </c>
      <c r="J377" s="8">
        <f t="shared" si="8"/>
        <v>2025</v>
      </c>
      <c r="K377" s="8" t="str">
        <f t="shared" si="3"/>
        <v>2025 - 2</v>
      </c>
    </row>
    <row r="378" outlineLevel="1">
      <c r="A378" s="2">
        <v>374.0</v>
      </c>
      <c r="B378" s="3">
        <v>45695.0</v>
      </c>
      <c r="C378" s="5" t="s">
        <v>18</v>
      </c>
      <c r="D378" s="5" t="s">
        <v>147</v>
      </c>
      <c r="E378" s="6">
        <v>-870.0</v>
      </c>
      <c r="F378" s="7">
        <f t="shared" si="4"/>
        <v>90552.62</v>
      </c>
      <c r="G378" s="5" t="s">
        <v>117</v>
      </c>
      <c r="H378" s="5"/>
      <c r="I378" s="8">
        <f t="shared" si="7"/>
        <v>2</v>
      </c>
      <c r="J378" s="8">
        <f t="shared" si="8"/>
        <v>2025</v>
      </c>
      <c r="K378" s="8" t="str">
        <f t="shared" si="3"/>
        <v>2025 - 2</v>
      </c>
    </row>
    <row r="379" outlineLevel="1">
      <c r="A379" s="2">
        <v>375.0</v>
      </c>
      <c r="B379" s="3">
        <v>45696.0</v>
      </c>
      <c r="C379" s="5" t="s">
        <v>9</v>
      </c>
      <c r="D379" s="5" t="s">
        <v>39</v>
      </c>
      <c r="E379" s="6">
        <v>-59.0</v>
      </c>
      <c r="F379" s="7">
        <f t="shared" si="4"/>
        <v>90493.62</v>
      </c>
      <c r="G379" s="5"/>
      <c r="H379" s="5"/>
      <c r="I379" s="8">
        <f t="shared" si="7"/>
        <v>2</v>
      </c>
      <c r="J379" s="8">
        <f t="shared" si="8"/>
        <v>2025</v>
      </c>
      <c r="K379" s="8" t="str">
        <f t="shared" si="3"/>
        <v>2025 - 2</v>
      </c>
    </row>
    <row r="380" outlineLevel="1">
      <c r="A380" s="2">
        <v>376.0</v>
      </c>
      <c r="B380" s="3">
        <v>45696.0</v>
      </c>
      <c r="C380" s="5" t="s">
        <v>18</v>
      </c>
      <c r="D380" s="5" t="s">
        <v>147</v>
      </c>
      <c r="E380" s="6">
        <v>-280.0</v>
      </c>
      <c r="F380" s="7">
        <f t="shared" si="4"/>
        <v>90213.62</v>
      </c>
      <c r="G380" s="5"/>
      <c r="H380" s="5"/>
      <c r="I380" s="8">
        <f t="shared" si="7"/>
        <v>2</v>
      </c>
      <c r="J380" s="8">
        <f t="shared" si="8"/>
        <v>2025</v>
      </c>
      <c r="K380" s="8" t="str">
        <f t="shared" si="3"/>
        <v>2025 - 2</v>
      </c>
    </row>
    <row r="381" outlineLevel="1">
      <c r="A381" s="2">
        <v>377.0</v>
      </c>
      <c r="B381" s="3">
        <v>45696.0</v>
      </c>
      <c r="C381" s="5" t="s">
        <v>16</v>
      </c>
      <c r="D381" s="5" t="s">
        <v>20</v>
      </c>
      <c r="E381" s="6">
        <v>-960.78</v>
      </c>
      <c r="F381" s="7">
        <f t="shared" si="4"/>
        <v>89252.84</v>
      </c>
      <c r="G381" s="5" t="s">
        <v>213</v>
      </c>
      <c r="H381" s="5"/>
      <c r="I381" s="8">
        <f t="shared" si="7"/>
        <v>2</v>
      </c>
      <c r="J381" s="8">
        <f t="shared" si="8"/>
        <v>2025</v>
      </c>
      <c r="K381" s="8" t="str">
        <f t="shared" si="3"/>
        <v>2025 - 2</v>
      </c>
    </row>
    <row r="382" outlineLevel="1">
      <c r="A382" s="2">
        <v>378.0</v>
      </c>
      <c r="B382" s="3">
        <v>45697.0</v>
      </c>
      <c r="C382" s="5" t="s">
        <v>18</v>
      </c>
      <c r="D382" s="5" t="s">
        <v>10</v>
      </c>
      <c r="E382" s="6">
        <v>-298.8</v>
      </c>
      <c r="F382" s="7">
        <f t="shared" si="4"/>
        <v>88954.04</v>
      </c>
      <c r="G382" s="5"/>
      <c r="H382" s="5"/>
      <c r="I382" s="8">
        <f t="shared" si="7"/>
        <v>2</v>
      </c>
      <c r="J382" s="8">
        <f t="shared" si="8"/>
        <v>2025</v>
      </c>
      <c r="K382" s="8" t="str">
        <f t="shared" si="3"/>
        <v>2025 - 2</v>
      </c>
    </row>
    <row r="383" outlineLevel="1">
      <c r="A383" s="2">
        <v>379.0</v>
      </c>
      <c r="B383" s="3">
        <v>45697.0</v>
      </c>
      <c r="C383" s="5" t="s">
        <v>9</v>
      </c>
      <c r="D383" s="5" t="s">
        <v>10</v>
      </c>
      <c r="E383" s="6">
        <v>-30.0</v>
      </c>
      <c r="F383" s="7">
        <f t="shared" si="4"/>
        <v>88924.04</v>
      </c>
      <c r="G383" s="5"/>
      <c r="H383" s="5"/>
      <c r="I383" s="8">
        <f t="shared" si="7"/>
        <v>2</v>
      </c>
      <c r="J383" s="8">
        <f t="shared" si="8"/>
        <v>2025</v>
      </c>
      <c r="K383" s="8" t="str">
        <f t="shared" si="3"/>
        <v>2025 - 2</v>
      </c>
    </row>
    <row r="384" outlineLevel="1">
      <c r="A384" s="2">
        <v>380.0</v>
      </c>
      <c r="B384" s="3">
        <v>45697.0</v>
      </c>
      <c r="C384" s="5" t="s">
        <v>9</v>
      </c>
      <c r="D384" s="5" t="s">
        <v>20</v>
      </c>
      <c r="E384" s="6">
        <v>-7720.0</v>
      </c>
      <c r="F384" s="7">
        <f t="shared" si="4"/>
        <v>81204.04</v>
      </c>
      <c r="G384" s="5" t="s">
        <v>211</v>
      </c>
      <c r="H384" s="5"/>
      <c r="I384" s="8">
        <f t="shared" si="7"/>
        <v>2</v>
      </c>
      <c r="J384" s="8">
        <f t="shared" si="8"/>
        <v>2025</v>
      </c>
      <c r="K384" s="8" t="str">
        <f t="shared" si="3"/>
        <v>2025 - 2</v>
      </c>
    </row>
    <row r="385" outlineLevel="1">
      <c r="A385" s="2">
        <v>381.0</v>
      </c>
      <c r="B385" s="3">
        <v>45697.0</v>
      </c>
      <c r="C385" s="5" t="s">
        <v>9</v>
      </c>
      <c r="D385" s="5" t="s">
        <v>10</v>
      </c>
      <c r="E385" s="6">
        <v>-150.0</v>
      </c>
      <c r="F385" s="7">
        <f t="shared" si="4"/>
        <v>81054.04</v>
      </c>
      <c r="G385" s="5"/>
      <c r="H385" s="5"/>
      <c r="I385" s="8">
        <f t="shared" si="7"/>
        <v>2</v>
      </c>
      <c r="J385" s="8">
        <f t="shared" si="8"/>
        <v>2025</v>
      </c>
      <c r="K385" s="8" t="str">
        <f t="shared" si="3"/>
        <v>2025 - 2</v>
      </c>
    </row>
    <row r="386" outlineLevel="1">
      <c r="A386" s="2">
        <v>382.0</v>
      </c>
      <c r="B386" s="3">
        <v>45697.0</v>
      </c>
      <c r="C386" s="5" t="s">
        <v>18</v>
      </c>
      <c r="D386" s="5" t="s">
        <v>10</v>
      </c>
      <c r="E386" s="6">
        <v>-378.0</v>
      </c>
      <c r="F386" s="7">
        <f t="shared" si="4"/>
        <v>80676.04</v>
      </c>
      <c r="G386" s="5"/>
      <c r="H386" s="5"/>
      <c r="I386" s="8">
        <f t="shared" si="7"/>
        <v>2</v>
      </c>
      <c r="J386" s="8">
        <f t="shared" si="8"/>
        <v>2025</v>
      </c>
      <c r="K386" s="8" t="str">
        <f t="shared" si="3"/>
        <v>2025 - 2</v>
      </c>
    </row>
    <row r="387" outlineLevel="1">
      <c r="A387" s="2">
        <v>383.0</v>
      </c>
      <c r="B387" s="3">
        <v>45697.0</v>
      </c>
      <c r="C387" s="5" t="s">
        <v>18</v>
      </c>
      <c r="D387" s="5" t="s">
        <v>10</v>
      </c>
      <c r="E387" s="6">
        <v>-112.0</v>
      </c>
      <c r="F387" s="7">
        <f t="shared" si="4"/>
        <v>80564.04</v>
      </c>
      <c r="G387" s="5"/>
      <c r="H387" s="5"/>
      <c r="I387" s="8">
        <f t="shared" si="7"/>
        <v>2</v>
      </c>
      <c r="J387" s="8">
        <f t="shared" si="8"/>
        <v>2025</v>
      </c>
      <c r="K387" s="8" t="str">
        <f t="shared" si="3"/>
        <v>2025 - 2</v>
      </c>
    </row>
    <row r="388" outlineLevel="1">
      <c r="A388" s="2">
        <v>384.0</v>
      </c>
      <c r="B388" s="3">
        <v>45698.0</v>
      </c>
      <c r="C388" s="5" t="s">
        <v>22</v>
      </c>
      <c r="D388" s="5" t="s">
        <v>10</v>
      </c>
      <c r="E388" s="6">
        <v>-300.0</v>
      </c>
      <c r="F388" s="7">
        <f t="shared" si="4"/>
        <v>80264.04</v>
      </c>
      <c r="G388" s="5"/>
      <c r="H388" s="5"/>
      <c r="I388" s="8">
        <f t="shared" si="7"/>
        <v>2</v>
      </c>
      <c r="J388" s="8">
        <f t="shared" si="8"/>
        <v>2025</v>
      </c>
      <c r="K388" s="8" t="str">
        <f t="shared" si="3"/>
        <v>2025 - 2</v>
      </c>
    </row>
    <row r="389" outlineLevel="1">
      <c r="A389" s="2">
        <v>385.0</v>
      </c>
      <c r="B389" s="3">
        <v>45698.0</v>
      </c>
      <c r="C389" s="5" t="s">
        <v>9</v>
      </c>
      <c r="D389" s="5" t="s">
        <v>10</v>
      </c>
      <c r="E389" s="6">
        <v>-90.0</v>
      </c>
      <c r="F389" s="7">
        <f t="shared" si="4"/>
        <v>80174.04</v>
      </c>
      <c r="G389" s="5"/>
      <c r="H389" s="5"/>
      <c r="I389" s="8">
        <f t="shared" si="7"/>
        <v>2</v>
      </c>
      <c r="J389" s="8">
        <f t="shared" si="8"/>
        <v>2025</v>
      </c>
      <c r="K389" s="8" t="str">
        <f t="shared" si="3"/>
        <v>2025 - 2</v>
      </c>
    </row>
    <row r="390" outlineLevel="1">
      <c r="A390" s="2">
        <v>386.0</v>
      </c>
      <c r="B390" s="3">
        <v>45698.0</v>
      </c>
      <c r="C390" s="5" t="s">
        <v>9</v>
      </c>
      <c r="D390" s="5" t="s">
        <v>10</v>
      </c>
      <c r="E390" s="6">
        <v>-80.0</v>
      </c>
      <c r="F390" s="7">
        <f t="shared" si="4"/>
        <v>80094.04</v>
      </c>
      <c r="G390" s="5"/>
      <c r="H390" s="5"/>
      <c r="I390" s="8">
        <f t="shared" si="7"/>
        <v>2</v>
      </c>
      <c r="J390" s="8">
        <f t="shared" si="8"/>
        <v>2025</v>
      </c>
      <c r="K390" s="8" t="str">
        <f t="shared" si="3"/>
        <v>2025 - 2</v>
      </c>
    </row>
    <row r="391" outlineLevel="1">
      <c r="A391" s="2">
        <v>387.0</v>
      </c>
      <c r="B391" s="3">
        <v>45700.0</v>
      </c>
      <c r="C391" s="5" t="s">
        <v>18</v>
      </c>
      <c r="D391" s="5" t="s">
        <v>10</v>
      </c>
      <c r="E391" s="6">
        <v>-209.0</v>
      </c>
      <c r="F391" s="7">
        <f t="shared" si="4"/>
        <v>79885.04</v>
      </c>
      <c r="G391" s="5"/>
      <c r="H391" s="5"/>
      <c r="I391" s="8">
        <f t="shared" si="7"/>
        <v>2</v>
      </c>
      <c r="J391" s="8">
        <f t="shared" si="8"/>
        <v>2025</v>
      </c>
      <c r="K391" s="8" t="str">
        <f t="shared" si="3"/>
        <v>2025 - 2</v>
      </c>
    </row>
    <row r="392" outlineLevel="1">
      <c r="A392" s="2">
        <v>388.0</v>
      </c>
      <c r="B392" s="3">
        <v>45700.0</v>
      </c>
      <c r="C392" s="5" t="s">
        <v>18</v>
      </c>
      <c r="D392" s="5" t="s">
        <v>10</v>
      </c>
      <c r="E392" s="6">
        <v>-262.0</v>
      </c>
      <c r="F392" s="7">
        <f t="shared" si="4"/>
        <v>79623.04</v>
      </c>
      <c r="G392" s="5"/>
      <c r="H392" s="5"/>
      <c r="I392" s="8">
        <f t="shared" si="7"/>
        <v>2</v>
      </c>
      <c r="J392" s="8">
        <f t="shared" si="8"/>
        <v>2025</v>
      </c>
      <c r="K392" s="8" t="str">
        <f t="shared" si="3"/>
        <v>2025 - 2</v>
      </c>
    </row>
    <row r="393" outlineLevel="1">
      <c r="A393" s="2">
        <v>389.0</v>
      </c>
      <c r="B393" s="3">
        <v>45701.0</v>
      </c>
      <c r="C393" s="5" t="s">
        <v>18</v>
      </c>
      <c r="D393" s="5" t="s">
        <v>39</v>
      </c>
      <c r="E393" s="6">
        <v>-512.0</v>
      </c>
      <c r="F393" s="7">
        <f t="shared" si="4"/>
        <v>79111.04</v>
      </c>
      <c r="G393" s="5"/>
      <c r="H393" s="5"/>
      <c r="I393" s="8">
        <f t="shared" si="7"/>
        <v>2</v>
      </c>
      <c r="J393" s="8">
        <f t="shared" si="8"/>
        <v>2025</v>
      </c>
      <c r="K393" s="8" t="str">
        <f t="shared" si="3"/>
        <v>2025 - 2</v>
      </c>
    </row>
    <row r="394" outlineLevel="1">
      <c r="A394" s="2">
        <v>390.0</v>
      </c>
      <c r="B394" s="3">
        <v>45701.0</v>
      </c>
      <c r="C394" s="5" t="s">
        <v>18</v>
      </c>
      <c r="D394" s="5" t="s">
        <v>39</v>
      </c>
      <c r="E394" s="6">
        <v>-313.0</v>
      </c>
      <c r="F394" s="7">
        <f t="shared" si="4"/>
        <v>78798.04</v>
      </c>
      <c r="G394" s="5"/>
      <c r="H394" s="5"/>
      <c r="I394" s="8">
        <f t="shared" si="7"/>
        <v>2</v>
      </c>
      <c r="J394" s="8">
        <f t="shared" si="8"/>
        <v>2025</v>
      </c>
      <c r="K394" s="8" t="str">
        <f t="shared" si="3"/>
        <v>2025 - 2</v>
      </c>
    </row>
    <row r="395" outlineLevel="1">
      <c r="A395" s="2">
        <v>391.0</v>
      </c>
      <c r="B395" s="3">
        <v>45701.0</v>
      </c>
      <c r="C395" s="5" t="s">
        <v>18</v>
      </c>
      <c r="D395" s="5" t="s">
        <v>10</v>
      </c>
      <c r="E395" s="6">
        <v>-367.0</v>
      </c>
      <c r="F395" s="7">
        <f t="shared" si="4"/>
        <v>78431.04</v>
      </c>
      <c r="G395" s="5"/>
      <c r="H395" s="5"/>
      <c r="I395" s="8">
        <f t="shared" si="7"/>
        <v>2</v>
      </c>
      <c r="J395" s="8">
        <f t="shared" si="8"/>
        <v>2025</v>
      </c>
      <c r="K395" s="8" t="str">
        <f t="shared" si="3"/>
        <v>2025 - 2</v>
      </c>
    </row>
    <row r="396" outlineLevel="1">
      <c r="A396" s="2">
        <v>392.0</v>
      </c>
      <c r="B396" s="3">
        <v>45701.0</v>
      </c>
      <c r="C396" s="5" t="s">
        <v>24</v>
      </c>
      <c r="D396" s="5" t="s">
        <v>13</v>
      </c>
      <c r="E396" s="6">
        <v>255.0</v>
      </c>
      <c r="F396" s="7">
        <f t="shared" si="4"/>
        <v>78686.04</v>
      </c>
      <c r="G396" s="5" t="s">
        <v>214</v>
      </c>
      <c r="H396" s="5"/>
      <c r="I396" s="8">
        <f t="shared" si="7"/>
        <v>2</v>
      </c>
      <c r="J396" s="8">
        <f t="shared" si="8"/>
        <v>2025</v>
      </c>
      <c r="K396" s="8" t="str">
        <f t="shared" si="3"/>
        <v>2025 - 2</v>
      </c>
    </row>
    <row r="397" outlineLevel="1">
      <c r="A397" s="2">
        <v>393.0</v>
      </c>
      <c r="B397" s="3">
        <v>45702.0</v>
      </c>
      <c r="C397" s="5" t="s">
        <v>9</v>
      </c>
      <c r="D397" s="5" t="s">
        <v>20</v>
      </c>
      <c r="E397" s="6">
        <f>-190-34.2-50-9-50-9</f>
        <v>-342.2</v>
      </c>
      <c r="F397" s="7">
        <f t="shared" si="4"/>
        <v>78343.84</v>
      </c>
      <c r="G397" s="5" t="s">
        <v>215</v>
      </c>
      <c r="H397" s="5"/>
      <c r="I397" s="8">
        <f t="shared" si="7"/>
        <v>2</v>
      </c>
      <c r="J397" s="8">
        <f t="shared" si="8"/>
        <v>2025</v>
      </c>
      <c r="K397" s="8" t="str">
        <f t="shared" si="3"/>
        <v>2025 - 2</v>
      </c>
    </row>
    <row r="398" outlineLevel="1">
      <c r="A398" s="2">
        <v>394.0</v>
      </c>
      <c r="B398" s="3">
        <v>45703.0</v>
      </c>
      <c r="C398" s="5" t="s">
        <v>49</v>
      </c>
      <c r="D398" s="5" t="s">
        <v>136</v>
      </c>
      <c r="E398" s="6">
        <v>-649.0</v>
      </c>
      <c r="F398" s="7">
        <f t="shared" si="4"/>
        <v>77694.84</v>
      </c>
      <c r="G398" s="5" t="s">
        <v>50</v>
      </c>
      <c r="H398" s="5"/>
      <c r="I398" s="8">
        <f t="shared" si="7"/>
        <v>2</v>
      </c>
      <c r="J398" s="8">
        <f t="shared" si="8"/>
        <v>2025</v>
      </c>
      <c r="K398" s="8" t="str">
        <f t="shared" si="3"/>
        <v>2025 - 2</v>
      </c>
    </row>
    <row r="399" outlineLevel="1">
      <c r="A399" s="2">
        <v>395.0</v>
      </c>
      <c r="B399" s="3">
        <v>45703.0</v>
      </c>
      <c r="C399" s="5" t="s">
        <v>49</v>
      </c>
      <c r="D399" s="5" t="s">
        <v>147</v>
      </c>
      <c r="E399" s="6">
        <v>-1825.46</v>
      </c>
      <c r="F399" s="7">
        <f t="shared" si="4"/>
        <v>75869.38</v>
      </c>
      <c r="G399" s="5" t="s">
        <v>110</v>
      </c>
      <c r="H399" s="5"/>
      <c r="I399" s="8">
        <f t="shared" si="7"/>
        <v>2</v>
      </c>
      <c r="J399" s="8">
        <f t="shared" si="8"/>
        <v>2025</v>
      </c>
      <c r="K399" s="8" t="str">
        <f t="shared" si="3"/>
        <v>2025 - 2</v>
      </c>
    </row>
    <row r="400" outlineLevel="1">
      <c r="A400" s="2">
        <v>396.0</v>
      </c>
      <c r="B400" s="3">
        <v>45703.0</v>
      </c>
      <c r="C400" s="5" t="s">
        <v>18</v>
      </c>
      <c r="D400" s="5" t="s">
        <v>10</v>
      </c>
      <c r="E400" s="6">
        <v>-85.0</v>
      </c>
      <c r="F400" s="7">
        <f t="shared" si="4"/>
        <v>75784.38</v>
      </c>
      <c r="G400" s="5"/>
      <c r="H400" s="5"/>
      <c r="I400" s="8">
        <f t="shared" si="7"/>
        <v>2</v>
      </c>
      <c r="J400" s="8">
        <f t="shared" si="8"/>
        <v>2025</v>
      </c>
      <c r="K400" s="8" t="str">
        <f t="shared" si="3"/>
        <v>2025 - 2</v>
      </c>
    </row>
    <row r="401" outlineLevel="1">
      <c r="A401" s="2">
        <v>397.0</v>
      </c>
      <c r="B401" s="3">
        <v>45703.0</v>
      </c>
      <c r="C401" s="5" t="s">
        <v>18</v>
      </c>
      <c r="D401" s="5" t="s">
        <v>10</v>
      </c>
      <c r="E401" s="6">
        <v>-244.0</v>
      </c>
      <c r="F401" s="7">
        <f t="shared" si="4"/>
        <v>75540.38</v>
      </c>
      <c r="G401" s="5"/>
      <c r="H401" s="5"/>
      <c r="I401" s="8">
        <f t="shared" si="7"/>
        <v>2</v>
      </c>
      <c r="J401" s="8">
        <f t="shared" si="8"/>
        <v>2025</v>
      </c>
      <c r="K401" s="8" t="str">
        <f t="shared" si="3"/>
        <v>2025 - 2</v>
      </c>
    </row>
    <row r="402" outlineLevel="1">
      <c r="A402" s="2">
        <v>398.0</v>
      </c>
      <c r="B402" s="3">
        <v>45704.0</v>
      </c>
      <c r="C402" s="5" t="s">
        <v>18</v>
      </c>
      <c r="D402" s="5" t="s">
        <v>10</v>
      </c>
      <c r="E402" s="6">
        <v>-503.2</v>
      </c>
      <c r="F402" s="7">
        <f t="shared" si="4"/>
        <v>75037.18</v>
      </c>
      <c r="G402" s="5"/>
      <c r="H402" s="5"/>
      <c r="I402" s="8">
        <f t="shared" si="7"/>
        <v>2</v>
      </c>
      <c r="J402" s="8">
        <f t="shared" si="8"/>
        <v>2025</v>
      </c>
      <c r="K402" s="8" t="str">
        <f t="shared" si="3"/>
        <v>2025 - 2</v>
      </c>
    </row>
    <row r="403" outlineLevel="1">
      <c r="A403" s="2">
        <v>399.0</v>
      </c>
      <c r="B403" s="3">
        <v>45705.0</v>
      </c>
      <c r="C403" s="5" t="s">
        <v>18</v>
      </c>
      <c r="D403" s="5" t="s">
        <v>10</v>
      </c>
      <c r="E403" s="6">
        <v>-326.68</v>
      </c>
      <c r="F403" s="7">
        <f t="shared" si="4"/>
        <v>74710.5</v>
      </c>
      <c r="G403" s="5"/>
      <c r="H403" s="5"/>
      <c r="I403" s="8">
        <f t="shared" si="7"/>
        <v>2</v>
      </c>
      <c r="J403" s="8">
        <f t="shared" si="8"/>
        <v>2025</v>
      </c>
      <c r="K403" s="8" t="str">
        <f t="shared" si="3"/>
        <v>2025 - 2</v>
      </c>
    </row>
    <row r="404" outlineLevel="1">
      <c r="A404" s="2">
        <v>400.0</v>
      </c>
      <c r="B404" s="3">
        <v>45705.0</v>
      </c>
      <c r="C404" s="5" t="s">
        <v>9</v>
      </c>
      <c r="D404" s="5" t="s">
        <v>10</v>
      </c>
      <c r="E404" s="6">
        <v>-499.0</v>
      </c>
      <c r="F404" s="7">
        <f t="shared" si="4"/>
        <v>74211.5</v>
      </c>
      <c r="G404" s="5" t="s">
        <v>216</v>
      </c>
      <c r="H404" s="5"/>
      <c r="I404" s="8">
        <f t="shared" si="7"/>
        <v>2</v>
      </c>
      <c r="J404" s="8">
        <f t="shared" si="8"/>
        <v>2025</v>
      </c>
      <c r="K404" s="8" t="str">
        <f t="shared" si="3"/>
        <v>2025 - 2</v>
      </c>
    </row>
    <row r="405" outlineLevel="1">
      <c r="A405" s="2">
        <v>401.0</v>
      </c>
      <c r="B405" s="3">
        <v>45706.0</v>
      </c>
      <c r="C405" s="5" t="s">
        <v>35</v>
      </c>
      <c r="D405" s="5" t="s">
        <v>194</v>
      </c>
      <c r="E405" s="6">
        <v>-15000.0</v>
      </c>
      <c r="F405" s="7">
        <f t="shared" si="4"/>
        <v>59211.5</v>
      </c>
      <c r="G405" s="5" t="s">
        <v>36</v>
      </c>
      <c r="H405" s="5"/>
      <c r="I405" s="8">
        <f t="shared" si="7"/>
        <v>2</v>
      </c>
      <c r="J405" s="8">
        <f t="shared" si="8"/>
        <v>2025</v>
      </c>
      <c r="K405" s="8" t="str">
        <f t="shared" si="3"/>
        <v>2025 - 2</v>
      </c>
    </row>
    <row r="406" outlineLevel="1">
      <c r="A406" s="2">
        <v>402.0</v>
      </c>
      <c r="B406" s="3">
        <v>45706.0</v>
      </c>
      <c r="C406" s="5" t="s">
        <v>18</v>
      </c>
      <c r="D406" s="5" t="s">
        <v>39</v>
      </c>
      <c r="E406" s="6">
        <v>-1980.0</v>
      </c>
      <c r="F406" s="7">
        <f t="shared" si="4"/>
        <v>57231.5</v>
      </c>
      <c r="G406" s="5" t="s">
        <v>212</v>
      </c>
      <c r="H406" s="5"/>
      <c r="I406" s="8">
        <f t="shared" si="7"/>
        <v>2</v>
      </c>
      <c r="J406" s="8">
        <f t="shared" si="8"/>
        <v>2025</v>
      </c>
      <c r="K406" s="8" t="str">
        <f t="shared" si="3"/>
        <v>2025 - 2</v>
      </c>
    </row>
    <row r="407" outlineLevel="1">
      <c r="A407" s="2">
        <v>403.0</v>
      </c>
      <c r="B407" s="3">
        <v>45707.0</v>
      </c>
      <c r="C407" s="5" t="s">
        <v>18</v>
      </c>
      <c r="D407" s="5" t="s">
        <v>10</v>
      </c>
      <c r="E407" s="6">
        <v>-182.0</v>
      </c>
      <c r="F407" s="7">
        <f t="shared" si="4"/>
        <v>57049.5</v>
      </c>
      <c r="G407" s="5"/>
      <c r="H407" s="5"/>
      <c r="I407" s="8">
        <f t="shared" si="7"/>
        <v>2</v>
      </c>
      <c r="J407" s="8">
        <f t="shared" si="8"/>
        <v>2025</v>
      </c>
      <c r="K407" s="8" t="str">
        <f t="shared" si="3"/>
        <v>2025 - 2</v>
      </c>
    </row>
    <row r="408" outlineLevel="1">
      <c r="A408" s="2">
        <v>404.0</v>
      </c>
      <c r="B408" s="3">
        <v>45707.0</v>
      </c>
      <c r="C408" s="5" t="s">
        <v>18</v>
      </c>
      <c r="D408" s="5" t="s">
        <v>10</v>
      </c>
      <c r="E408" s="6">
        <v>-494.95</v>
      </c>
      <c r="F408" s="7">
        <f t="shared" si="4"/>
        <v>56554.55</v>
      </c>
      <c r="G408" s="5"/>
      <c r="H408" s="5"/>
      <c r="I408" s="8">
        <f t="shared" si="7"/>
        <v>2</v>
      </c>
      <c r="J408" s="8">
        <f t="shared" si="8"/>
        <v>2025</v>
      </c>
      <c r="K408" s="8" t="str">
        <f t="shared" si="3"/>
        <v>2025 - 2</v>
      </c>
    </row>
    <row r="409" outlineLevel="1">
      <c r="A409" s="2">
        <v>405.0</v>
      </c>
      <c r="B409" s="3">
        <v>45708.0</v>
      </c>
      <c r="C409" s="5" t="s">
        <v>31</v>
      </c>
      <c r="D409" s="5" t="s">
        <v>147</v>
      </c>
      <c r="E409" s="6">
        <v>-60.0</v>
      </c>
      <c r="F409" s="7">
        <f t="shared" si="4"/>
        <v>56494.55</v>
      </c>
      <c r="G409" s="5" t="s">
        <v>44</v>
      </c>
      <c r="H409" s="5"/>
      <c r="I409" s="8">
        <f t="shared" si="7"/>
        <v>2</v>
      </c>
      <c r="J409" s="8">
        <f t="shared" si="8"/>
        <v>2025</v>
      </c>
      <c r="K409" s="8" t="str">
        <f t="shared" si="3"/>
        <v>2025 - 2</v>
      </c>
    </row>
    <row r="410" outlineLevel="1">
      <c r="A410" s="2">
        <v>406.0</v>
      </c>
      <c r="B410" s="3">
        <v>45708.0</v>
      </c>
      <c r="C410" s="5" t="s">
        <v>31</v>
      </c>
      <c r="D410" s="5" t="s">
        <v>147</v>
      </c>
      <c r="E410" s="6">
        <v>-64.0</v>
      </c>
      <c r="F410" s="7">
        <f t="shared" si="4"/>
        <v>56430.55</v>
      </c>
      <c r="G410" s="5" t="s">
        <v>32</v>
      </c>
      <c r="H410" s="5"/>
      <c r="I410" s="8">
        <f t="shared" si="7"/>
        <v>2</v>
      </c>
      <c r="J410" s="8">
        <f t="shared" si="8"/>
        <v>2025</v>
      </c>
      <c r="K410" s="8" t="str">
        <f t="shared" si="3"/>
        <v>2025 - 2</v>
      </c>
    </row>
    <row r="411" outlineLevel="1">
      <c r="A411" s="2">
        <v>407.0</v>
      </c>
      <c r="B411" s="3">
        <v>45708.0</v>
      </c>
      <c r="C411" s="5" t="s">
        <v>31</v>
      </c>
      <c r="D411" s="5" t="s">
        <v>10</v>
      </c>
      <c r="E411" s="6">
        <v>-32.0</v>
      </c>
      <c r="F411" s="7">
        <f t="shared" si="4"/>
        <v>56398.55</v>
      </c>
      <c r="G411" s="5" t="s">
        <v>217</v>
      </c>
      <c r="H411" s="5"/>
      <c r="I411" s="8">
        <f t="shared" si="7"/>
        <v>2</v>
      </c>
      <c r="J411" s="8">
        <f t="shared" si="8"/>
        <v>2025</v>
      </c>
      <c r="K411" s="8" t="str">
        <f t="shared" si="3"/>
        <v>2025 - 2</v>
      </c>
    </row>
    <row r="412" outlineLevel="1">
      <c r="A412" s="2">
        <v>408.0</v>
      </c>
      <c r="B412" s="3">
        <v>45713.0</v>
      </c>
      <c r="C412" s="5" t="s">
        <v>9</v>
      </c>
      <c r="D412" s="5" t="s">
        <v>13</v>
      </c>
      <c r="E412" s="6">
        <v>-1000.0</v>
      </c>
      <c r="F412" s="7">
        <f t="shared" si="4"/>
        <v>55398.55</v>
      </c>
      <c r="G412" s="5" t="s">
        <v>70</v>
      </c>
      <c r="H412" s="5"/>
      <c r="I412" s="8">
        <f t="shared" si="7"/>
        <v>2</v>
      </c>
      <c r="J412" s="8">
        <f t="shared" si="8"/>
        <v>2025</v>
      </c>
      <c r="K412" s="8" t="str">
        <f t="shared" si="3"/>
        <v>2025 - 2</v>
      </c>
    </row>
    <row r="413" outlineLevel="1">
      <c r="A413" s="2">
        <v>409.0</v>
      </c>
      <c r="B413" s="3">
        <v>45714.0</v>
      </c>
      <c r="C413" s="5" t="s">
        <v>49</v>
      </c>
      <c r="D413" s="5" t="s">
        <v>10</v>
      </c>
      <c r="E413" s="6">
        <v>-299.0</v>
      </c>
      <c r="F413" s="7">
        <f t="shared" si="4"/>
        <v>55099.55</v>
      </c>
      <c r="G413" s="5" t="s">
        <v>142</v>
      </c>
      <c r="H413" s="5"/>
      <c r="I413" s="8">
        <f t="shared" si="7"/>
        <v>2</v>
      </c>
      <c r="J413" s="8">
        <f t="shared" si="8"/>
        <v>2025</v>
      </c>
      <c r="K413" s="8" t="str">
        <f t="shared" si="3"/>
        <v>2025 - 2</v>
      </c>
    </row>
    <row r="414" outlineLevel="1">
      <c r="A414" s="2">
        <v>410.0</v>
      </c>
      <c r="B414" s="3">
        <v>45714.0</v>
      </c>
      <c r="C414" s="5" t="s">
        <v>49</v>
      </c>
      <c r="D414" s="5" t="s">
        <v>20</v>
      </c>
      <c r="E414" s="6">
        <v>-500.0</v>
      </c>
      <c r="F414" s="7">
        <f t="shared" si="4"/>
        <v>54599.55</v>
      </c>
      <c r="G414" s="5" t="s">
        <v>88</v>
      </c>
      <c r="H414" s="5"/>
      <c r="I414" s="8">
        <f t="shared" si="7"/>
        <v>2</v>
      </c>
      <c r="J414" s="8">
        <f t="shared" si="8"/>
        <v>2025</v>
      </c>
      <c r="K414" s="8" t="str">
        <f t="shared" si="3"/>
        <v>2025 - 2</v>
      </c>
    </row>
    <row r="415" outlineLevel="1">
      <c r="A415" s="2">
        <v>411.0</v>
      </c>
      <c r="B415" s="3">
        <v>45714.0</v>
      </c>
      <c r="C415" s="5" t="s">
        <v>9</v>
      </c>
      <c r="D415" s="5" t="s">
        <v>10</v>
      </c>
      <c r="E415" s="6">
        <v>-190.0</v>
      </c>
      <c r="F415" s="7">
        <f t="shared" si="4"/>
        <v>54409.55</v>
      </c>
      <c r="G415" s="5" t="s">
        <v>129</v>
      </c>
      <c r="H415" s="5"/>
      <c r="I415" s="8">
        <f t="shared" si="7"/>
        <v>2</v>
      </c>
      <c r="J415" s="8">
        <f t="shared" si="8"/>
        <v>2025</v>
      </c>
      <c r="K415" s="8" t="str">
        <f t="shared" si="3"/>
        <v>2025 - 2</v>
      </c>
    </row>
    <row r="416" outlineLevel="1">
      <c r="A416" s="2">
        <v>412.0</v>
      </c>
      <c r="B416" s="3">
        <v>45716.0</v>
      </c>
      <c r="C416" s="5" t="s">
        <v>31</v>
      </c>
      <c r="D416" s="5" t="s">
        <v>10</v>
      </c>
      <c r="E416" s="6">
        <v>-134.0</v>
      </c>
      <c r="F416" s="7">
        <f t="shared" si="4"/>
        <v>54275.55</v>
      </c>
      <c r="G416" s="5" t="s">
        <v>32</v>
      </c>
      <c r="H416" s="5"/>
      <c r="I416" s="8">
        <f t="shared" si="7"/>
        <v>2</v>
      </c>
      <c r="J416" s="8">
        <f t="shared" si="8"/>
        <v>2025</v>
      </c>
      <c r="K416" s="8" t="str">
        <f t="shared" si="3"/>
        <v>2025 - 2</v>
      </c>
    </row>
    <row r="417" outlineLevel="1">
      <c r="A417" s="2">
        <v>413.0</v>
      </c>
      <c r="B417" s="3">
        <v>45716.0</v>
      </c>
      <c r="C417" s="5" t="s">
        <v>101</v>
      </c>
      <c r="D417" s="5" t="s">
        <v>10</v>
      </c>
      <c r="E417" s="6">
        <v>79533.0</v>
      </c>
      <c r="F417" s="7">
        <f t="shared" si="4"/>
        <v>133808.55</v>
      </c>
      <c r="G417" s="5"/>
      <c r="H417" s="5"/>
      <c r="I417" s="8">
        <f t="shared" si="7"/>
        <v>2</v>
      </c>
      <c r="J417" s="8">
        <f t="shared" si="8"/>
        <v>2025</v>
      </c>
      <c r="K417" s="8" t="str">
        <f t="shared" si="3"/>
        <v>2025 - 2</v>
      </c>
    </row>
    <row r="418" outlineLevel="1">
      <c r="A418" s="1">
        <v>414.0</v>
      </c>
      <c r="B418" s="25">
        <v>45716.0</v>
      </c>
      <c r="C418" s="26" t="s">
        <v>31</v>
      </c>
      <c r="D418" s="26" t="s">
        <v>10</v>
      </c>
      <c r="E418" s="27">
        <v>-176.0</v>
      </c>
      <c r="F418" s="28">
        <f t="shared" si="4"/>
        <v>133632.55</v>
      </c>
      <c r="G418" s="26" t="s">
        <v>32</v>
      </c>
      <c r="H418" s="26"/>
      <c r="I418" s="29">
        <f t="shared" si="7"/>
        <v>2</v>
      </c>
      <c r="J418" s="29">
        <f t="shared" si="8"/>
        <v>2025</v>
      </c>
      <c r="K418" s="29" t="str">
        <f t="shared" si="3"/>
        <v>2025 - 2</v>
      </c>
    </row>
    <row r="419">
      <c r="A419" s="13">
        <v>415.0</v>
      </c>
      <c r="B419" s="14">
        <v>45724.0</v>
      </c>
      <c r="C419" s="15" t="s">
        <v>9</v>
      </c>
      <c r="D419" s="15" t="s">
        <v>39</v>
      </c>
      <c r="E419" s="16">
        <v>-59.0</v>
      </c>
      <c r="F419" s="17">
        <f t="shared" si="4"/>
        <v>133573.55</v>
      </c>
      <c r="G419" s="15" t="s">
        <v>218</v>
      </c>
      <c r="H419" s="15"/>
      <c r="I419" s="18">
        <f t="shared" si="7"/>
        <v>3</v>
      </c>
      <c r="J419" s="18">
        <f t="shared" si="8"/>
        <v>2025</v>
      </c>
      <c r="K419" s="18" t="str">
        <f t="shared" si="3"/>
        <v>2025 - 3</v>
      </c>
    </row>
    <row r="420" outlineLevel="1">
      <c r="A420" s="2">
        <v>416.0</v>
      </c>
      <c r="B420" s="3">
        <v>45725.0</v>
      </c>
      <c r="C420" s="5" t="s">
        <v>16</v>
      </c>
      <c r="D420" s="5" t="s">
        <v>147</v>
      </c>
      <c r="E420" s="6">
        <v>-3679.0</v>
      </c>
      <c r="F420" s="7">
        <f t="shared" si="4"/>
        <v>129894.55</v>
      </c>
      <c r="G420" s="5"/>
      <c r="H420" s="5"/>
      <c r="I420" s="8">
        <f t="shared" si="7"/>
        <v>3</v>
      </c>
      <c r="J420" s="8">
        <f t="shared" si="8"/>
        <v>2025</v>
      </c>
      <c r="K420" s="8" t="str">
        <f t="shared" si="3"/>
        <v>2025 - 3</v>
      </c>
    </row>
    <row r="421" outlineLevel="1">
      <c r="A421" s="2">
        <v>417.0</v>
      </c>
      <c r="B421" s="3">
        <v>45725.0</v>
      </c>
      <c r="C421" s="5" t="s">
        <v>38</v>
      </c>
      <c r="D421" s="5" t="s">
        <v>10</v>
      </c>
      <c r="E421" s="6">
        <v>-116.82</v>
      </c>
      <c r="F421" s="7">
        <f t="shared" si="4"/>
        <v>129777.73</v>
      </c>
      <c r="G421" s="5" t="s">
        <v>219</v>
      </c>
      <c r="H421" s="5"/>
      <c r="I421" s="8">
        <f t="shared" si="7"/>
        <v>3</v>
      </c>
      <c r="J421" s="8">
        <f t="shared" si="8"/>
        <v>2025</v>
      </c>
      <c r="K421" s="8" t="str">
        <f t="shared" si="3"/>
        <v>2025 - 3</v>
      </c>
    </row>
    <row r="422" outlineLevel="1">
      <c r="A422" s="2">
        <v>418.0</v>
      </c>
      <c r="B422" s="3">
        <v>45729.0</v>
      </c>
      <c r="C422" s="5" t="s">
        <v>9</v>
      </c>
      <c r="D422" s="5" t="s">
        <v>13</v>
      </c>
      <c r="E422" s="6">
        <v>-500.0</v>
      </c>
      <c r="F422" s="7">
        <f t="shared" si="4"/>
        <v>129277.73</v>
      </c>
      <c r="G422" s="5" t="s">
        <v>70</v>
      </c>
      <c r="H422" s="5"/>
      <c r="I422" s="8">
        <f t="shared" si="7"/>
        <v>3</v>
      </c>
      <c r="J422" s="8">
        <f t="shared" si="8"/>
        <v>2025</v>
      </c>
      <c r="K422" s="8" t="str">
        <f t="shared" si="3"/>
        <v>2025 - 3</v>
      </c>
    </row>
    <row r="423" outlineLevel="1">
      <c r="A423" s="2">
        <v>419.0</v>
      </c>
      <c r="B423" s="3">
        <v>45729.0</v>
      </c>
      <c r="C423" s="5" t="s">
        <v>16</v>
      </c>
      <c r="D423" s="5" t="s">
        <v>10</v>
      </c>
      <c r="E423" s="6">
        <v>-12.0</v>
      </c>
      <c r="F423" s="7">
        <f t="shared" si="4"/>
        <v>129265.73</v>
      </c>
      <c r="G423" s="5"/>
      <c r="H423" s="5"/>
      <c r="I423" s="8">
        <f t="shared" si="7"/>
        <v>3</v>
      </c>
      <c r="J423" s="8">
        <f t="shared" si="8"/>
        <v>2025</v>
      </c>
      <c r="K423" s="8" t="str">
        <f t="shared" si="3"/>
        <v>2025 - 3</v>
      </c>
    </row>
    <row r="424" outlineLevel="1">
      <c r="A424" s="2">
        <v>420.0</v>
      </c>
      <c r="B424" s="3">
        <v>45729.0</v>
      </c>
      <c r="C424" s="5" t="s">
        <v>16</v>
      </c>
      <c r="D424" s="5" t="s">
        <v>10</v>
      </c>
      <c r="E424" s="6">
        <v>-400.0</v>
      </c>
      <c r="F424" s="7">
        <f t="shared" si="4"/>
        <v>128865.73</v>
      </c>
      <c r="G424" s="5" t="s">
        <v>220</v>
      </c>
      <c r="H424" s="5"/>
      <c r="I424" s="8">
        <f t="shared" si="7"/>
        <v>3</v>
      </c>
      <c r="J424" s="8">
        <f t="shared" si="8"/>
        <v>2025</v>
      </c>
      <c r="K424" s="8" t="str">
        <f t="shared" si="3"/>
        <v>2025 - 3</v>
      </c>
    </row>
    <row r="425" outlineLevel="1">
      <c r="A425" s="2">
        <v>421.0</v>
      </c>
      <c r="B425" s="3">
        <v>45730.0</v>
      </c>
      <c r="C425" s="5" t="s">
        <v>49</v>
      </c>
      <c r="D425" s="5" t="s">
        <v>10</v>
      </c>
      <c r="E425" s="6">
        <v>-1825.46</v>
      </c>
      <c r="F425" s="7">
        <f t="shared" si="4"/>
        <v>127040.27</v>
      </c>
      <c r="G425" s="5" t="s">
        <v>110</v>
      </c>
      <c r="H425" s="5"/>
      <c r="I425" s="8">
        <f t="shared" si="7"/>
        <v>3</v>
      </c>
      <c r="J425" s="8">
        <f t="shared" si="8"/>
        <v>2025</v>
      </c>
      <c r="K425" s="8" t="str">
        <f t="shared" si="3"/>
        <v>2025 - 3</v>
      </c>
    </row>
    <row r="426" outlineLevel="1">
      <c r="A426" s="2">
        <v>422.0</v>
      </c>
      <c r="B426" s="3">
        <v>45730.0</v>
      </c>
      <c r="C426" s="5" t="s">
        <v>9</v>
      </c>
      <c r="D426" s="5" t="s">
        <v>10</v>
      </c>
      <c r="E426" s="6">
        <v>-158.0</v>
      </c>
      <c r="F426" s="7">
        <f t="shared" si="4"/>
        <v>126882.27</v>
      </c>
      <c r="H426" s="5"/>
      <c r="I426" s="8">
        <f t="shared" si="7"/>
        <v>3</v>
      </c>
      <c r="J426" s="8">
        <f t="shared" si="8"/>
        <v>2025</v>
      </c>
      <c r="K426" s="8" t="str">
        <f t="shared" si="3"/>
        <v>2025 - 3</v>
      </c>
    </row>
    <row r="427" outlineLevel="1">
      <c r="A427" s="2">
        <v>423.0</v>
      </c>
      <c r="B427" s="3">
        <v>45730.0</v>
      </c>
      <c r="C427" s="5" t="s">
        <v>9</v>
      </c>
      <c r="D427" s="5" t="s">
        <v>13</v>
      </c>
      <c r="E427" s="6">
        <v>-158.0</v>
      </c>
      <c r="F427" s="7">
        <f t="shared" si="4"/>
        <v>126724.27</v>
      </c>
      <c r="G427" s="5" t="s">
        <v>221</v>
      </c>
      <c r="H427" s="5"/>
      <c r="I427" s="8">
        <f t="shared" si="7"/>
        <v>3</v>
      </c>
      <c r="J427" s="8">
        <f t="shared" si="8"/>
        <v>2025</v>
      </c>
      <c r="K427" s="8" t="str">
        <f t="shared" si="3"/>
        <v>2025 - 3</v>
      </c>
    </row>
    <row r="428" outlineLevel="1">
      <c r="A428" s="2">
        <v>424.0</v>
      </c>
      <c r="B428" s="3">
        <v>45730.0</v>
      </c>
      <c r="C428" s="5" t="s">
        <v>9</v>
      </c>
      <c r="D428" s="5" t="s">
        <v>13</v>
      </c>
      <c r="E428" s="6">
        <v>-158.0</v>
      </c>
      <c r="F428" s="7">
        <f t="shared" si="4"/>
        <v>126566.27</v>
      </c>
      <c r="G428" s="5" t="s">
        <v>222</v>
      </c>
      <c r="H428" s="5"/>
      <c r="I428" s="8">
        <f t="shared" si="7"/>
        <v>3</v>
      </c>
      <c r="J428" s="8">
        <f t="shared" si="8"/>
        <v>2025</v>
      </c>
      <c r="K428" s="8" t="str">
        <f t="shared" si="3"/>
        <v>2025 - 3</v>
      </c>
    </row>
    <row r="429" outlineLevel="1">
      <c r="A429" s="2">
        <v>425.0</v>
      </c>
      <c r="B429" s="3">
        <v>45730.0</v>
      </c>
      <c r="C429" s="5" t="s">
        <v>24</v>
      </c>
      <c r="D429" s="5" t="s">
        <v>13</v>
      </c>
      <c r="E429" s="6">
        <v>158.0</v>
      </c>
      <c r="F429" s="7">
        <f t="shared" si="4"/>
        <v>126724.27</v>
      </c>
      <c r="G429" s="5" t="s">
        <v>221</v>
      </c>
      <c r="H429" s="5"/>
      <c r="I429" s="8">
        <f t="shared" si="7"/>
        <v>3</v>
      </c>
      <c r="J429" s="8">
        <f t="shared" si="8"/>
        <v>2025</v>
      </c>
      <c r="K429" s="8" t="str">
        <f t="shared" si="3"/>
        <v>2025 - 3</v>
      </c>
    </row>
    <row r="430" outlineLevel="1">
      <c r="A430" s="2">
        <v>426.0</v>
      </c>
      <c r="B430" s="3">
        <v>45730.0</v>
      </c>
      <c r="C430" s="5" t="s">
        <v>24</v>
      </c>
      <c r="D430" s="5" t="s">
        <v>13</v>
      </c>
      <c r="E430" s="6">
        <v>168.0</v>
      </c>
      <c r="F430" s="7">
        <f t="shared" si="4"/>
        <v>126892.27</v>
      </c>
      <c r="G430" s="5" t="s">
        <v>222</v>
      </c>
      <c r="H430" s="5"/>
      <c r="I430" s="8">
        <f t="shared" si="7"/>
        <v>3</v>
      </c>
      <c r="J430" s="8">
        <f t="shared" si="8"/>
        <v>2025</v>
      </c>
      <c r="K430" s="8" t="str">
        <f t="shared" si="3"/>
        <v>2025 - 3</v>
      </c>
    </row>
    <row r="431" outlineLevel="1">
      <c r="A431" s="2">
        <v>427.0</v>
      </c>
      <c r="B431" s="3">
        <v>45731.0</v>
      </c>
      <c r="C431" s="5" t="s">
        <v>49</v>
      </c>
      <c r="D431" s="5" t="s">
        <v>10</v>
      </c>
      <c r="E431" s="6">
        <v>-649.0</v>
      </c>
      <c r="F431" s="7">
        <f t="shared" si="4"/>
        <v>126243.27</v>
      </c>
      <c r="G431" s="5" t="s">
        <v>50</v>
      </c>
      <c r="H431" s="5"/>
      <c r="I431" s="8">
        <f t="shared" si="7"/>
        <v>3</v>
      </c>
      <c r="J431" s="8">
        <f t="shared" si="8"/>
        <v>2025</v>
      </c>
      <c r="K431" s="8" t="str">
        <f t="shared" si="3"/>
        <v>2025 - 3</v>
      </c>
    </row>
    <row r="432" outlineLevel="1">
      <c r="A432" s="2">
        <v>428.0</v>
      </c>
      <c r="B432" s="3">
        <v>45732.0</v>
      </c>
      <c r="C432" s="5" t="s">
        <v>31</v>
      </c>
      <c r="D432" s="5" t="s">
        <v>10</v>
      </c>
      <c r="E432" s="6">
        <v>-192.0</v>
      </c>
      <c r="F432" s="7">
        <f t="shared" si="4"/>
        <v>126051.27</v>
      </c>
      <c r="G432" s="5" t="s">
        <v>32</v>
      </c>
      <c r="H432" s="5"/>
      <c r="I432" s="8">
        <f t="shared" si="7"/>
        <v>3</v>
      </c>
      <c r="J432" s="8">
        <f t="shared" si="8"/>
        <v>2025</v>
      </c>
      <c r="K432" s="8" t="str">
        <f t="shared" si="3"/>
        <v>2025 - 3</v>
      </c>
    </row>
    <row r="433" outlineLevel="1">
      <c r="A433" s="2">
        <v>429.0</v>
      </c>
      <c r="B433" s="3">
        <v>45732.0</v>
      </c>
      <c r="C433" s="5" t="s">
        <v>18</v>
      </c>
      <c r="D433" s="5" t="s">
        <v>39</v>
      </c>
      <c r="E433" s="6">
        <v>-850.0</v>
      </c>
      <c r="F433" s="7">
        <f t="shared" si="4"/>
        <v>125201.27</v>
      </c>
      <c r="G433" s="5" t="s">
        <v>223</v>
      </c>
      <c r="H433" s="5"/>
      <c r="I433" s="8">
        <f t="shared" si="7"/>
        <v>3</v>
      </c>
      <c r="J433" s="8">
        <f t="shared" si="8"/>
        <v>2025</v>
      </c>
      <c r="K433" s="8" t="str">
        <f t="shared" si="3"/>
        <v>2025 - 3</v>
      </c>
    </row>
    <row r="434" outlineLevel="1">
      <c r="A434" s="2">
        <v>430.0</v>
      </c>
      <c r="B434" s="3">
        <v>45732.0</v>
      </c>
      <c r="C434" s="5" t="s">
        <v>31</v>
      </c>
      <c r="D434" s="5" t="s">
        <v>10</v>
      </c>
      <c r="E434" s="6">
        <v>-52.0</v>
      </c>
      <c r="F434" s="7">
        <f t="shared" si="4"/>
        <v>125149.27</v>
      </c>
      <c r="G434" s="5"/>
      <c r="H434" s="5"/>
      <c r="I434" s="8">
        <f t="shared" si="7"/>
        <v>3</v>
      </c>
      <c r="J434" s="8">
        <f t="shared" si="8"/>
        <v>2025</v>
      </c>
      <c r="K434" s="8" t="str">
        <f t="shared" si="3"/>
        <v>2025 - 3</v>
      </c>
    </row>
    <row r="435" outlineLevel="1">
      <c r="A435" s="2">
        <v>431.0</v>
      </c>
      <c r="B435" s="3">
        <v>45733.0</v>
      </c>
      <c r="C435" s="5" t="s">
        <v>24</v>
      </c>
      <c r="D435" s="5" t="s">
        <v>10</v>
      </c>
      <c r="E435" s="6">
        <v>170.0</v>
      </c>
      <c r="F435" s="7">
        <f t="shared" si="4"/>
        <v>125319.27</v>
      </c>
      <c r="G435" s="5" t="s">
        <v>127</v>
      </c>
      <c r="H435" s="5"/>
      <c r="I435" s="8">
        <f t="shared" si="7"/>
        <v>3</v>
      </c>
      <c r="J435" s="8">
        <f t="shared" si="8"/>
        <v>2025</v>
      </c>
      <c r="K435" s="8" t="str">
        <f t="shared" si="3"/>
        <v>2025 - 3</v>
      </c>
    </row>
    <row r="436" outlineLevel="1">
      <c r="A436" s="2">
        <v>432.0</v>
      </c>
      <c r="B436" s="3">
        <v>45734.0</v>
      </c>
      <c r="C436" s="5" t="s">
        <v>101</v>
      </c>
      <c r="D436" s="5" t="s">
        <v>10</v>
      </c>
      <c r="E436" s="6">
        <v>46110.0</v>
      </c>
      <c r="F436" s="7">
        <f t="shared" si="4"/>
        <v>171429.27</v>
      </c>
      <c r="G436" s="5" t="s">
        <v>224</v>
      </c>
      <c r="H436" s="5"/>
      <c r="I436" s="8">
        <f t="shared" si="7"/>
        <v>3</v>
      </c>
      <c r="J436" s="8">
        <f t="shared" si="8"/>
        <v>2025</v>
      </c>
      <c r="K436" s="8" t="str">
        <f t="shared" si="3"/>
        <v>2025 - 3</v>
      </c>
    </row>
    <row r="437" outlineLevel="1">
      <c r="A437" s="2">
        <v>433.0</v>
      </c>
      <c r="B437" s="3">
        <v>45735.0</v>
      </c>
      <c r="C437" s="5" t="s">
        <v>12</v>
      </c>
      <c r="D437" s="5" t="s">
        <v>39</v>
      </c>
      <c r="E437" s="6">
        <v>-158.0</v>
      </c>
      <c r="F437" s="7">
        <f t="shared" si="4"/>
        <v>171271.27</v>
      </c>
      <c r="G437" s="31" t="s">
        <v>70</v>
      </c>
      <c r="H437" s="5"/>
      <c r="I437" s="8">
        <f t="shared" si="7"/>
        <v>3</v>
      </c>
      <c r="J437" s="8">
        <f t="shared" si="8"/>
        <v>2025</v>
      </c>
      <c r="K437" s="8" t="str">
        <f t="shared" si="3"/>
        <v>2025 - 3</v>
      </c>
    </row>
    <row r="438" outlineLevel="1">
      <c r="A438" s="2">
        <v>434.0</v>
      </c>
      <c r="B438" s="3">
        <v>45735.0</v>
      </c>
      <c r="C438" s="5" t="s">
        <v>12</v>
      </c>
      <c r="D438" s="5" t="s">
        <v>13</v>
      </c>
      <c r="E438" s="6">
        <v>-5000.0</v>
      </c>
      <c r="F438" s="7">
        <f t="shared" si="4"/>
        <v>166271.27</v>
      </c>
      <c r="G438" s="31" t="s">
        <v>70</v>
      </c>
      <c r="H438" s="5"/>
      <c r="I438" s="8">
        <f t="shared" si="7"/>
        <v>3</v>
      </c>
      <c r="J438" s="8">
        <f t="shared" si="8"/>
        <v>2025</v>
      </c>
      <c r="K438" s="8" t="str">
        <f t="shared" si="3"/>
        <v>2025 - 3</v>
      </c>
    </row>
    <row r="439" outlineLevel="1">
      <c r="A439" s="2">
        <v>435.0</v>
      </c>
      <c r="B439" s="3">
        <v>45736.0</v>
      </c>
      <c r="C439" s="5" t="s">
        <v>9</v>
      </c>
      <c r="D439" s="5" t="s">
        <v>10</v>
      </c>
      <c r="E439" s="6">
        <v>-4128.82</v>
      </c>
      <c r="F439" s="7">
        <f t="shared" si="4"/>
        <v>162142.45</v>
      </c>
      <c r="G439" s="32" t="s">
        <v>225</v>
      </c>
      <c r="H439" s="5"/>
      <c r="I439" s="8">
        <f t="shared" si="7"/>
        <v>3</v>
      </c>
      <c r="J439" s="8">
        <f t="shared" si="8"/>
        <v>2025</v>
      </c>
      <c r="K439" s="8" t="str">
        <f t="shared" si="3"/>
        <v>2025 - 3</v>
      </c>
    </row>
    <row r="440" outlineLevel="1">
      <c r="A440" s="2">
        <v>436.0</v>
      </c>
      <c r="B440" s="3">
        <v>45737.0</v>
      </c>
      <c r="C440" s="5" t="s">
        <v>31</v>
      </c>
      <c r="D440" s="5" t="s">
        <v>10</v>
      </c>
      <c r="E440" s="6">
        <v>-314.0</v>
      </c>
      <c r="F440" s="7">
        <f t="shared" si="4"/>
        <v>161828.45</v>
      </c>
      <c r="G440" s="32" t="s">
        <v>32</v>
      </c>
      <c r="H440" s="5"/>
      <c r="I440" s="8">
        <f t="shared" si="7"/>
        <v>3</v>
      </c>
      <c r="J440" s="8">
        <f t="shared" si="8"/>
        <v>2025</v>
      </c>
      <c r="K440" s="8" t="str">
        <f t="shared" si="3"/>
        <v>2025 - 3</v>
      </c>
    </row>
    <row r="441" outlineLevel="1">
      <c r="A441" s="2">
        <v>437.0</v>
      </c>
      <c r="B441" s="3">
        <v>45737.0</v>
      </c>
      <c r="C441" s="5" t="s">
        <v>18</v>
      </c>
      <c r="D441" s="5" t="s">
        <v>39</v>
      </c>
      <c r="E441" s="6">
        <v>-3509.0</v>
      </c>
      <c r="F441" s="7">
        <f t="shared" si="4"/>
        <v>158319.45</v>
      </c>
      <c r="G441" s="32" t="s">
        <v>226</v>
      </c>
      <c r="H441" s="5"/>
      <c r="I441" s="8">
        <f t="shared" si="7"/>
        <v>3</v>
      </c>
      <c r="J441" s="8">
        <f t="shared" si="8"/>
        <v>2025</v>
      </c>
      <c r="K441" s="8" t="str">
        <f t="shared" si="3"/>
        <v>2025 - 3</v>
      </c>
    </row>
    <row r="442" outlineLevel="1">
      <c r="A442" s="2">
        <v>438.0</v>
      </c>
      <c r="B442" s="3">
        <v>45737.0</v>
      </c>
      <c r="C442" s="5" t="s">
        <v>18</v>
      </c>
      <c r="D442" s="5" t="s">
        <v>39</v>
      </c>
      <c r="E442" s="6">
        <v>-1709.7</v>
      </c>
      <c r="F442" s="7">
        <f t="shared" si="4"/>
        <v>156609.75</v>
      </c>
      <c r="G442" s="32" t="s">
        <v>226</v>
      </c>
      <c r="H442" s="5"/>
      <c r="I442" s="8">
        <f t="shared" si="7"/>
        <v>3</v>
      </c>
      <c r="J442" s="8">
        <f t="shared" si="8"/>
        <v>2025</v>
      </c>
      <c r="K442" s="8" t="str">
        <f t="shared" si="3"/>
        <v>2025 - 3</v>
      </c>
    </row>
    <row r="443" outlineLevel="1">
      <c r="A443" s="2">
        <v>439.0</v>
      </c>
      <c r="B443" s="3">
        <v>45737.0</v>
      </c>
      <c r="C443" s="5" t="s">
        <v>18</v>
      </c>
      <c r="D443" s="5" t="s">
        <v>39</v>
      </c>
      <c r="E443" s="6">
        <v>-1926.0</v>
      </c>
      <c r="F443" s="7">
        <f t="shared" si="4"/>
        <v>154683.75</v>
      </c>
      <c r="G443" s="32" t="s">
        <v>226</v>
      </c>
      <c r="H443" s="5"/>
      <c r="I443" s="8">
        <f t="shared" si="7"/>
        <v>3</v>
      </c>
      <c r="J443" s="8">
        <f t="shared" si="8"/>
        <v>2025</v>
      </c>
      <c r="K443" s="8" t="str">
        <f t="shared" si="3"/>
        <v>2025 - 3</v>
      </c>
    </row>
    <row r="444" outlineLevel="1">
      <c r="A444" s="2">
        <v>440.0</v>
      </c>
      <c r="B444" s="3">
        <v>45737.0</v>
      </c>
      <c r="C444" s="5" t="s">
        <v>31</v>
      </c>
      <c r="D444" s="5" t="s">
        <v>10</v>
      </c>
      <c r="E444" s="6">
        <v>-400.0</v>
      </c>
      <c r="F444" s="7">
        <f t="shared" si="4"/>
        <v>154283.75</v>
      </c>
      <c r="G444" s="32" t="s">
        <v>32</v>
      </c>
      <c r="H444" s="5"/>
      <c r="I444" s="8">
        <f t="shared" si="7"/>
        <v>3</v>
      </c>
      <c r="J444" s="8">
        <f t="shared" si="8"/>
        <v>2025</v>
      </c>
      <c r="K444" s="8" t="str">
        <f t="shared" si="3"/>
        <v>2025 - 3</v>
      </c>
    </row>
    <row r="445" outlineLevel="1">
      <c r="A445" s="2">
        <v>441.0</v>
      </c>
      <c r="B445" s="3">
        <v>45738.0</v>
      </c>
      <c r="C445" s="5" t="s">
        <v>24</v>
      </c>
      <c r="D445" s="5" t="s">
        <v>10</v>
      </c>
      <c r="E445" s="6">
        <v>7354.0</v>
      </c>
      <c r="F445" s="7">
        <f t="shared" si="4"/>
        <v>161637.75</v>
      </c>
      <c r="G445" s="32" t="s">
        <v>226</v>
      </c>
      <c r="H445" s="5"/>
      <c r="I445" s="8">
        <f t="shared" si="7"/>
        <v>3</v>
      </c>
      <c r="J445" s="8">
        <f t="shared" si="8"/>
        <v>2025</v>
      </c>
      <c r="K445" s="8" t="str">
        <f t="shared" si="3"/>
        <v>2025 - 3</v>
      </c>
    </row>
    <row r="446" outlineLevel="1">
      <c r="A446" s="2">
        <v>442.0</v>
      </c>
      <c r="B446" s="3">
        <v>45738.0</v>
      </c>
      <c r="C446" s="5" t="s">
        <v>18</v>
      </c>
      <c r="D446" s="5" t="s">
        <v>39</v>
      </c>
      <c r="E446" s="6">
        <v>-210.8</v>
      </c>
      <c r="F446" s="7">
        <f t="shared" si="4"/>
        <v>161426.95</v>
      </c>
      <c r="G446" s="32" t="s">
        <v>226</v>
      </c>
      <c r="H446" s="5"/>
      <c r="I446" s="8">
        <f t="shared" si="7"/>
        <v>3</v>
      </c>
      <c r="J446" s="8">
        <f t="shared" si="8"/>
        <v>2025</v>
      </c>
      <c r="K446" s="8" t="str">
        <f t="shared" si="3"/>
        <v>2025 - 3</v>
      </c>
    </row>
    <row r="447" outlineLevel="1">
      <c r="A447" s="2">
        <v>443.0</v>
      </c>
      <c r="B447" s="3">
        <v>45739.0</v>
      </c>
      <c r="C447" s="5" t="s">
        <v>9</v>
      </c>
      <c r="D447" s="5" t="s">
        <v>10</v>
      </c>
      <c r="E447" s="6">
        <v>-78.0</v>
      </c>
      <c r="F447" s="7">
        <f t="shared" si="4"/>
        <v>161348.95</v>
      </c>
      <c r="G447" s="32"/>
      <c r="H447" s="5"/>
      <c r="I447" s="8">
        <f t="shared" si="7"/>
        <v>3</v>
      </c>
      <c r="J447" s="8">
        <f t="shared" si="8"/>
        <v>2025</v>
      </c>
      <c r="K447" s="8" t="str">
        <f t="shared" si="3"/>
        <v>2025 - 3</v>
      </c>
    </row>
    <row r="448" outlineLevel="1">
      <c r="A448" s="2">
        <v>444.0</v>
      </c>
      <c r="B448" s="3">
        <v>45739.0</v>
      </c>
      <c r="C448" s="5" t="s">
        <v>31</v>
      </c>
      <c r="D448" s="5" t="s">
        <v>10</v>
      </c>
      <c r="E448" s="6">
        <v>-471.67</v>
      </c>
      <c r="F448" s="7">
        <f t="shared" si="4"/>
        <v>160877.28</v>
      </c>
      <c r="G448" s="32" t="s">
        <v>64</v>
      </c>
      <c r="H448" s="5"/>
      <c r="I448" s="8">
        <f t="shared" si="7"/>
        <v>3</v>
      </c>
      <c r="J448" s="8">
        <f t="shared" si="8"/>
        <v>2025</v>
      </c>
      <c r="K448" s="8" t="str">
        <f t="shared" si="3"/>
        <v>2025 - 3</v>
      </c>
    </row>
    <row r="449" outlineLevel="1">
      <c r="A449" s="2">
        <v>445.0</v>
      </c>
      <c r="B449" s="3">
        <v>45739.0</v>
      </c>
      <c r="C449" s="5" t="s">
        <v>31</v>
      </c>
      <c r="D449" s="5" t="s">
        <v>10</v>
      </c>
      <c r="E449" s="6">
        <v>-105.0</v>
      </c>
      <c r="F449" s="7">
        <f t="shared" si="4"/>
        <v>160772.28</v>
      </c>
      <c r="G449" s="32" t="s">
        <v>32</v>
      </c>
      <c r="H449" s="5"/>
      <c r="I449" s="8">
        <f t="shared" si="7"/>
        <v>3</v>
      </c>
      <c r="J449" s="8">
        <f t="shared" si="8"/>
        <v>2025</v>
      </c>
      <c r="K449" s="8" t="str">
        <f t="shared" si="3"/>
        <v>2025 - 3</v>
      </c>
    </row>
    <row r="450" outlineLevel="1">
      <c r="A450" s="2">
        <v>446.0</v>
      </c>
      <c r="B450" s="3">
        <v>45739.0</v>
      </c>
      <c r="C450" s="5" t="s">
        <v>31</v>
      </c>
      <c r="D450" s="5" t="s">
        <v>10</v>
      </c>
      <c r="E450" s="6">
        <v>-703.45</v>
      </c>
      <c r="F450" s="7">
        <f t="shared" si="4"/>
        <v>160068.83</v>
      </c>
      <c r="G450" s="32" t="s">
        <v>64</v>
      </c>
      <c r="H450" s="5"/>
      <c r="I450" s="8">
        <f t="shared" si="7"/>
        <v>3</v>
      </c>
      <c r="J450" s="8">
        <f t="shared" si="8"/>
        <v>2025</v>
      </c>
      <c r="K450" s="8" t="str">
        <f t="shared" si="3"/>
        <v>2025 - 3</v>
      </c>
    </row>
    <row r="451" outlineLevel="1">
      <c r="A451" s="2">
        <v>447.0</v>
      </c>
      <c r="B451" s="3">
        <v>45740.0</v>
      </c>
      <c r="C451" s="5" t="s">
        <v>227</v>
      </c>
      <c r="D451" s="5" t="s">
        <v>10</v>
      </c>
      <c r="E451" s="6">
        <v>-20000.0</v>
      </c>
      <c r="F451" s="7">
        <f t="shared" si="4"/>
        <v>140068.83</v>
      </c>
      <c r="G451" s="32" t="s">
        <v>228</v>
      </c>
      <c r="H451" s="5"/>
      <c r="I451" s="8">
        <f t="shared" si="7"/>
        <v>3</v>
      </c>
      <c r="J451" s="8">
        <f t="shared" si="8"/>
        <v>2025</v>
      </c>
      <c r="K451" s="8" t="str">
        <f t="shared" si="3"/>
        <v>2025 - 3</v>
      </c>
    </row>
    <row r="452" outlineLevel="1">
      <c r="A452" s="2">
        <v>448.0</v>
      </c>
      <c r="B452" s="3">
        <v>45741.0</v>
      </c>
      <c r="C452" s="5" t="s">
        <v>16</v>
      </c>
      <c r="D452" s="5" t="s">
        <v>10</v>
      </c>
      <c r="E452" s="6">
        <v>-2468.0</v>
      </c>
      <c r="F452" s="7">
        <f t="shared" si="4"/>
        <v>137600.83</v>
      </c>
      <c r="G452" s="32" t="s">
        <v>163</v>
      </c>
      <c r="H452" s="5"/>
      <c r="I452" s="8">
        <f t="shared" si="7"/>
        <v>3</v>
      </c>
      <c r="J452" s="8">
        <f t="shared" si="8"/>
        <v>2025</v>
      </c>
      <c r="K452" s="8" t="str">
        <f t="shared" si="3"/>
        <v>2025 - 3</v>
      </c>
    </row>
    <row r="453" outlineLevel="1">
      <c r="A453" s="2">
        <v>449.0</v>
      </c>
      <c r="B453" s="3">
        <v>45742.0</v>
      </c>
      <c r="C453" s="5" t="s">
        <v>49</v>
      </c>
      <c r="D453" s="5" t="s">
        <v>10</v>
      </c>
      <c r="E453" s="6">
        <v>-299.0</v>
      </c>
      <c r="F453" s="7">
        <f t="shared" si="4"/>
        <v>137301.83</v>
      </c>
      <c r="G453" s="32" t="s">
        <v>142</v>
      </c>
      <c r="H453" s="5"/>
      <c r="I453" s="8">
        <f t="shared" si="7"/>
        <v>3</v>
      </c>
      <c r="J453" s="8">
        <f t="shared" si="8"/>
        <v>2025</v>
      </c>
      <c r="K453" s="8" t="str">
        <f t="shared" si="3"/>
        <v>2025 - 3</v>
      </c>
    </row>
    <row r="454" outlineLevel="1">
      <c r="A454" s="2">
        <v>450.0</v>
      </c>
      <c r="B454" s="3">
        <v>45742.0</v>
      </c>
      <c r="C454" s="5" t="s">
        <v>35</v>
      </c>
      <c r="D454" s="5" t="s">
        <v>20</v>
      </c>
      <c r="E454" s="6">
        <v>-28000.0</v>
      </c>
      <c r="F454" s="7">
        <f t="shared" si="4"/>
        <v>109301.83</v>
      </c>
      <c r="G454" s="32" t="s">
        <v>36</v>
      </c>
      <c r="H454" s="5"/>
      <c r="I454" s="8">
        <f t="shared" si="7"/>
        <v>3</v>
      </c>
      <c r="J454" s="8">
        <f t="shared" si="8"/>
        <v>2025</v>
      </c>
      <c r="K454" s="8" t="str">
        <f t="shared" si="3"/>
        <v>2025 - 3</v>
      </c>
    </row>
    <row r="455" outlineLevel="1">
      <c r="A455" s="2">
        <v>451.0</v>
      </c>
      <c r="B455" s="3">
        <v>45742.0</v>
      </c>
      <c r="C455" s="5" t="s">
        <v>16</v>
      </c>
      <c r="D455" s="5" t="s">
        <v>10</v>
      </c>
      <c r="E455" s="6">
        <v>-711.0</v>
      </c>
      <c r="F455" s="7">
        <f t="shared" si="4"/>
        <v>108590.83</v>
      </c>
      <c r="G455" s="32" t="s">
        <v>163</v>
      </c>
      <c r="H455" s="5"/>
      <c r="I455" s="8">
        <f t="shared" si="7"/>
        <v>3</v>
      </c>
      <c r="J455" s="8">
        <f t="shared" si="8"/>
        <v>2025</v>
      </c>
      <c r="K455" s="8" t="str">
        <f t="shared" si="3"/>
        <v>2025 - 3</v>
      </c>
    </row>
    <row r="456" outlineLevel="1">
      <c r="A456" s="2">
        <v>452.0</v>
      </c>
      <c r="B456" s="3">
        <v>45742.0</v>
      </c>
      <c r="C456" s="5" t="s">
        <v>9</v>
      </c>
      <c r="D456" s="5" t="s">
        <v>10</v>
      </c>
      <c r="E456" s="6">
        <v>-499.0</v>
      </c>
      <c r="F456" s="7">
        <f t="shared" si="4"/>
        <v>108091.83</v>
      </c>
      <c r="G456" s="32" t="s">
        <v>229</v>
      </c>
      <c r="H456" s="5"/>
      <c r="I456" s="8">
        <f t="shared" si="7"/>
        <v>3</v>
      </c>
      <c r="J456" s="8">
        <f t="shared" si="8"/>
        <v>2025</v>
      </c>
      <c r="K456" s="8" t="str">
        <f t="shared" si="3"/>
        <v>2025 - 3</v>
      </c>
    </row>
    <row r="457" outlineLevel="1">
      <c r="A457" s="2">
        <v>453.0</v>
      </c>
      <c r="B457" s="3">
        <v>45743.0</v>
      </c>
      <c r="C457" s="5" t="s">
        <v>9</v>
      </c>
      <c r="D457" s="5" t="s">
        <v>10</v>
      </c>
      <c r="E457" s="6">
        <v>-199.0</v>
      </c>
      <c r="F457" s="7">
        <f t="shared" si="4"/>
        <v>107892.83</v>
      </c>
      <c r="G457" s="32" t="s">
        <v>229</v>
      </c>
      <c r="H457" s="5"/>
      <c r="I457" s="8">
        <f t="shared" si="7"/>
        <v>3</v>
      </c>
      <c r="J457" s="8">
        <f t="shared" si="8"/>
        <v>2025</v>
      </c>
      <c r="K457" s="8" t="str">
        <f t="shared" si="3"/>
        <v>2025 - 3</v>
      </c>
    </row>
    <row r="458" outlineLevel="1">
      <c r="A458" s="2">
        <v>454.0</v>
      </c>
      <c r="B458" s="3">
        <v>45743.0</v>
      </c>
      <c r="C458" s="5" t="s">
        <v>35</v>
      </c>
      <c r="D458" s="5" t="s">
        <v>20</v>
      </c>
      <c r="E458" s="6">
        <v>-60000.0</v>
      </c>
      <c r="F458" s="7">
        <f t="shared" si="4"/>
        <v>47892.83</v>
      </c>
      <c r="G458" s="32" t="s">
        <v>36</v>
      </c>
      <c r="H458" s="5"/>
      <c r="I458" s="8">
        <f t="shared" si="7"/>
        <v>3</v>
      </c>
      <c r="J458" s="8">
        <f t="shared" si="8"/>
        <v>2025</v>
      </c>
      <c r="K458" s="8" t="str">
        <f t="shared" si="3"/>
        <v>2025 - 3</v>
      </c>
    </row>
    <row r="459" outlineLevel="1">
      <c r="A459" s="2">
        <v>455.0</v>
      </c>
      <c r="B459" s="3">
        <v>45744.0</v>
      </c>
      <c r="C459" s="5" t="s">
        <v>31</v>
      </c>
      <c r="D459" s="5" t="s">
        <v>10</v>
      </c>
      <c r="E459" s="6">
        <v>-700.0</v>
      </c>
      <c r="F459" s="7">
        <f t="shared" si="4"/>
        <v>47192.83</v>
      </c>
      <c r="G459" s="32" t="s">
        <v>32</v>
      </c>
      <c r="H459" s="5"/>
      <c r="I459" s="8">
        <f t="shared" si="7"/>
        <v>3</v>
      </c>
      <c r="J459" s="8">
        <f t="shared" si="8"/>
        <v>2025</v>
      </c>
      <c r="K459" s="8" t="str">
        <f t="shared" si="3"/>
        <v>2025 - 3</v>
      </c>
    </row>
    <row r="460" outlineLevel="1">
      <c r="A460" s="2">
        <v>456.0</v>
      </c>
      <c r="B460" s="3">
        <v>45744.0</v>
      </c>
      <c r="C460" s="5" t="s">
        <v>31</v>
      </c>
      <c r="D460" s="5" t="s">
        <v>10</v>
      </c>
      <c r="E460" s="6">
        <v>-424.2</v>
      </c>
      <c r="F460" s="7">
        <f t="shared" si="4"/>
        <v>46768.63</v>
      </c>
      <c r="G460" s="32" t="s">
        <v>32</v>
      </c>
      <c r="H460" s="5"/>
      <c r="I460" s="8">
        <f t="shared" si="7"/>
        <v>3</v>
      </c>
      <c r="J460" s="8">
        <f t="shared" si="8"/>
        <v>2025</v>
      </c>
      <c r="K460" s="8" t="str">
        <f t="shared" si="3"/>
        <v>2025 - 3</v>
      </c>
    </row>
    <row r="461" outlineLevel="1">
      <c r="A461" s="2">
        <v>457.0</v>
      </c>
      <c r="B461" s="3">
        <v>45745.0</v>
      </c>
      <c r="C461" s="5" t="s">
        <v>9</v>
      </c>
      <c r="D461" s="5" t="s">
        <v>10</v>
      </c>
      <c r="E461" s="6">
        <v>-300.0</v>
      </c>
      <c r="F461" s="7">
        <f t="shared" si="4"/>
        <v>46468.63</v>
      </c>
      <c r="G461" s="32"/>
      <c r="H461" s="5"/>
      <c r="I461" s="8">
        <f t="shared" si="7"/>
        <v>3</v>
      </c>
      <c r="J461" s="8">
        <f t="shared" si="8"/>
        <v>2025</v>
      </c>
      <c r="K461" s="8" t="str">
        <f t="shared" si="3"/>
        <v>2025 - 3</v>
      </c>
    </row>
    <row r="462" outlineLevel="1">
      <c r="A462" s="1">
        <v>458.0</v>
      </c>
      <c r="B462" s="25">
        <v>45747.0</v>
      </c>
      <c r="C462" s="26" t="s">
        <v>9</v>
      </c>
      <c r="D462" s="26" t="s">
        <v>10</v>
      </c>
      <c r="E462" s="27">
        <v>569.0</v>
      </c>
      <c r="F462" s="28">
        <f t="shared" si="4"/>
        <v>47037.63</v>
      </c>
      <c r="G462" s="33"/>
      <c r="H462" s="26"/>
      <c r="I462" s="29">
        <f t="shared" si="7"/>
        <v>3</v>
      </c>
      <c r="J462" s="29">
        <f t="shared" si="8"/>
        <v>2025</v>
      </c>
      <c r="K462" s="29" t="str">
        <f t="shared" si="3"/>
        <v>2025 - 3</v>
      </c>
    </row>
    <row r="463">
      <c r="A463" s="13">
        <v>459.0</v>
      </c>
      <c r="B463" s="14">
        <v>45748.0</v>
      </c>
      <c r="C463" s="15" t="s">
        <v>9</v>
      </c>
      <c r="D463" s="15" t="s">
        <v>10</v>
      </c>
      <c r="E463" s="16">
        <v>-100.0</v>
      </c>
      <c r="F463" s="17">
        <f t="shared" si="4"/>
        <v>46937.63</v>
      </c>
      <c r="G463" s="15" t="s">
        <v>230</v>
      </c>
      <c r="H463" s="15"/>
      <c r="I463" s="18">
        <f t="shared" si="7"/>
        <v>4</v>
      </c>
      <c r="J463" s="18">
        <f t="shared" si="8"/>
        <v>2025</v>
      </c>
      <c r="K463" s="18" t="str">
        <f t="shared" si="3"/>
        <v>2025 - 4</v>
      </c>
    </row>
    <row r="464" outlineLevel="1">
      <c r="A464" s="2">
        <v>460.0</v>
      </c>
      <c r="B464" s="3">
        <v>45748.0</v>
      </c>
      <c r="C464" s="5" t="s">
        <v>9</v>
      </c>
      <c r="D464" s="5" t="s">
        <v>10</v>
      </c>
      <c r="E464" s="6">
        <v>-2500.0</v>
      </c>
      <c r="F464" s="7">
        <f t="shared" si="4"/>
        <v>44437.63</v>
      </c>
      <c r="G464" s="5" t="s">
        <v>230</v>
      </c>
      <c r="H464" s="5"/>
      <c r="I464" s="8">
        <f t="shared" si="7"/>
        <v>4</v>
      </c>
      <c r="J464" s="8">
        <f t="shared" si="8"/>
        <v>2025</v>
      </c>
      <c r="K464" s="8" t="str">
        <f t="shared" si="3"/>
        <v>2025 - 4</v>
      </c>
    </row>
    <row r="465" outlineLevel="1">
      <c r="A465" s="2">
        <v>461.0</v>
      </c>
      <c r="B465" s="3">
        <v>45748.0</v>
      </c>
      <c r="C465" s="5" t="s">
        <v>16</v>
      </c>
      <c r="D465" s="5" t="s">
        <v>10</v>
      </c>
      <c r="E465" s="6">
        <v>-321.0</v>
      </c>
      <c r="F465" s="7">
        <f t="shared" si="4"/>
        <v>44116.63</v>
      </c>
      <c r="G465" s="5" t="s">
        <v>163</v>
      </c>
      <c r="H465" s="5"/>
      <c r="I465" s="8">
        <f t="shared" si="7"/>
        <v>4</v>
      </c>
      <c r="J465" s="8">
        <f t="shared" si="8"/>
        <v>2025</v>
      </c>
      <c r="K465" s="8" t="str">
        <f t="shared" si="3"/>
        <v>2025 - 4</v>
      </c>
    </row>
    <row r="466" outlineLevel="1">
      <c r="A466" s="2">
        <v>462.0</v>
      </c>
      <c r="B466" s="3">
        <v>45748.0</v>
      </c>
      <c r="C466" s="5" t="s">
        <v>16</v>
      </c>
      <c r="D466" s="5" t="s">
        <v>10</v>
      </c>
      <c r="E466" s="6">
        <v>-334.0</v>
      </c>
      <c r="F466" s="7">
        <f t="shared" si="4"/>
        <v>43782.63</v>
      </c>
      <c r="H466" s="5"/>
      <c r="I466" s="8">
        <f t="shared" si="7"/>
        <v>4</v>
      </c>
      <c r="J466" s="8">
        <f t="shared" si="8"/>
        <v>2025</v>
      </c>
      <c r="K466" s="8" t="str">
        <f t="shared" si="3"/>
        <v>2025 - 4</v>
      </c>
    </row>
    <row r="467" outlineLevel="1">
      <c r="A467" s="2">
        <v>463.0</v>
      </c>
      <c r="B467" s="3">
        <v>45748.0</v>
      </c>
      <c r="C467" s="5" t="s">
        <v>18</v>
      </c>
      <c r="D467" s="5" t="s">
        <v>10</v>
      </c>
      <c r="E467" s="6">
        <v>-322.25</v>
      </c>
      <c r="F467" s="7">
        <f t="shared" si="4"/>
        <v>43460.38</v>
      </c>
      <c r="H467" s="5"/>
      <c r="I467" s="8">
        <f t="shared" si="7"/>
        <v>4</v>
      </c>
      <c r="J467" s="8">
        <f t="shared" si="8"/>
        <v>2025</v>
      </c>
      <c r="K467" s="8" t="str">
        <f t="shared" si="3"/>
        <v>2025 - 4</v>
      </c>
    </row>
    <row r="468" outlineLevel="1">
      <c r="A468" s="2">
        <v>464.0</v>
      </c>
      <c r="B468" s="3">
        <v>45748.0</v>
      </c>
      <c r="C468" s="5" t="s">
        <v>49</v>
      </c>
      <c r="D468" s="5" t="s">
        <v>20</v>
      </c>
      <c r="E468" s="6">
        <v>-470.0</v>
      </c>
      <c r="F468" s="7">
        <f t="shared" si="4"/>
        <v>42990.38</v>
      </c>
      <c r="G468" s="5" t="s">
        <v>231</v>
      </c>
      <c r="H468" s="5"/>
      <c r="I468" s="8">
        <f t="shared" si="7"/>
        <v>4</v>
      </c>
      <c r="J468" s="8">
        <f t="shared" si="8"/>
        <v>2025</v>
      </c>
      <c r="K468" s="8" t="str">
        <f t="shared" si="3"/>
        <v>2025 - 4</v>
      </c>
    </row>
    <row r="469" outlineLevel="1">
      <c r="A469" s="2">
        <v>465.0</v>
      </c>
      <c r="B469" s="3">
        <v>45748.0</v>
      </c>
      <c r="C469" s="5" t="s">
        <v>49</v>
      </c>
      <c r="D469" s="5" t="s">
        <v>20</v>
      </c>
      <c r="E469" s="6">
        <v>-470.0</v>
      </c>
      <c r="F469" s="7">
        <f t="shared" si="4"/>
        <v>42520.38</v>
      </c>
      <c r="G469" s="5" t="s">
        <v>231</v>
      </c>
      <c r="H469" s="5"/>
      <c r="I469" s="8">
        <f t="shared" si="7"/>
        <v>4</v>
      </c>
      <c r="J469" s="8">
        <f t="shared" si="8"/>
        <v>2025</v>
      </c>
      <c r="K469" s="8" t="str">
        <f t="shared" si="3"/>
        <v>2025 - 4</v>
      </c>
    </row>
    <row r="470" outlineLevel="1">
      <c r="A470" s="2">
        <v>466.0</v>
      </c>
      <c r="B470" s="3">
        <v>45748.0</v>
      </c>
      <c r="C470" s="5" t="s">
        <v>101</v>
      </c>
      <c r="D470" s="5" t="s">
        <v>10</v>
      </c>
      <c r="E470" s="6">
        <v>79533.0</v>
      </c>
      <c r="F470" s="7">
        <f t="shared" si="4"/>
        <v>122053.38</v>
      </c>
      <c r="H470" s="5"/>
      <c r="I470" s="8">
        <f t="shared" si="7"/>
        <v>4</v>
      </c>
      <c r="J470" s="8">
        <f t="shared" si="8"/>
        <v>2025</v>
      </c>
      <c r="K470" s="8" t="str">
        <f t="shared" si="3"/>
        <v>2025 - 4</v>
      </c>
    </row>
    <row r="471" outlineLevel="1">
      <c r="A471" s="2">
        <v>467.0</v>
      </c>
      <c r="B471" s="3">
        <v>45749.0</v>
      </c>
      <c r="C471" s="5" t="s">
        <v>227</v>
      </c>
      <c r="D471" s="5" t="s">
        <v>10</v>
      </c>
      <c r="E471" s="6">
        <v>-60000.0</v>
      </c>
      <c r="F471" s="7">
        <f t="shared" si="4"/>
        <v>62053.38</v>
      </c>
      <c r="G471" s="5" t="s">
        <v>228</v>
      </c>
      <c r="H471" s="5"/>
      <c r="I471" s="8">
        <f t="shared" si="7"/>
        <v>4</v>
      </c>
      <c r="J471" s="8">
        <f t="shared" si="8"/>
        <v>2025</v>
      </c>
      <c r="K471" s="8" t="str">
        <f t="shared" si="3"/>
        <v>2025 - 4</v>
      </c>
    </row>
    <row r="472" outlineLevel="1">
      <c r="A472" s="2">
        <v>468.0</v>
      </c>
      <c r="B472" s="3">
        <v>45751.0</v>
      </c>
      <c r="C472" s="5" t="s">
        <v>35</v>
      </c>
      <c r="D472" s="5" t="s">
        <v>20</v>
      </c>
      <c r="E472" s="6">
        <v>-30000.0</v>
      </c>
      <c r="F472" s="7">
        <f t="shared" si="4"/>
        <v>32053.38</v>
      </c>
      <c r="G472" s="5" t="s">
        <v>36</v>
      </c>
      <c r="H472" s="5"/>
      <c r="I472" s="8">
        <f t="shared" si="7"/>
        <v>4</v>
      </c>
      <c r="J472" s="8">
        <f t="shared" si="8"/>
        <v>2025</v>
      </c>
      <c r="K472" s="8" t="str">
        <f t="shared" si="3"/>
        <v>2025 - 4</v>
      </c>
    </row>
    <row r="473" outlineLevel="1">
      <c r="A473" s="2">
        <v>469.0</v>
      </c>
      <c r="B473" s="3">
        <v>45752.0</v>
      </c>
      <c r="C473" s="5" t="s">
        <v>9</v>
      </c>
      <c r="D473" s="5" t="s">
        <v>10</v>
      </c>
      <c r="E473" s="6">
        <v>-9.0</v>
      </c>
      <c r="F473" s="7">
        <f t="shared" si="4"/>
        <v>32044.38</v>
      </c>
      <c r="G473" s="5" t="s">
        <v>199</v>
      </c>
      <c r="H473" s="5"/>
      <c r="I473" s="8">
        <f t="shared" si="7"/>
        <v>4</v>
      </c>
      <c r="J473" s="8">
        <f t="shared" si="8"/>
        <v>2025</v>
      </c>
      <c r="K473" s="8" t="str">
        <f t="shared" si="3"/>
        <v>2025 - 4</v>
      </c>
    </row>
    <row r="474" outlineLevel="1">
      <c r="A474" s="2">
        <v>470.0</v>
      </c>
      <c r="B474" s="3">
        <v>45752.0</v>
      </c>
      <c r="C474" s="5" t="s">
        <v>9</v>
      </c>
      <c r="D474" s="5" t="s">
        <v>10</v>
      </c>
      <c r="E474" s="6">
        <v>-100.0</v>
      </c>
      <c r="F474" s="7">
        <f t="shared" si="4"/>
        <v>31944.38</v>
      </c>
      <c r="G474" s="5" t="s">
        <v>232</v>
      </c>
      <c r="H474" s="5"/>
      <c r="I474" s="8">
        <f t="shared" si="7"/>
        <v>4</v>
      </c>
      <c r="J474" s="8">
        <f t="shared" si="8"/>
        <v>2025</v>
      </c>
      <c r="K474" s="8" t="str">
        <f t="shared" si="3"/>
        <v>2025 - 4</v>
      </c>
    </row>
    <row r="475" outlineLevel="1">
      <c r="A475" s="2">
        <v>471.0</v>
      </c>
      <c r="B475" s="3">
        <v>45753.0</v>
      </c>
      <c r="C475" s="5" t="s">
        <v>9</v>
      </c>
      <c r="D475" s="5" t="s">
        <v>10</v>
      </c>
      <c r="E475" s="6">
        <v>-300.0</v>
      </c>
      <c r="F475" s="7">
        <f t="shared" si="4"/>
        <v>31644.38</v>
      </c>
      <c r="H475" s="5"/>
      <c r="I475" s="8">
        <f t="shared" si="7"/>
        <v>4</v>
      </c>
      <c r="J475" s="8">
        <f t="shared" si="8"/>
        <v>2025</v>
      </c>
      <c r="K475" s="8" t="str">
        <f t="shared" si="3"/>
        <v>2025 - 4</v>
      </c>
    </row>
    <row r="476" outlineLevel="1">
      <c r="A476" s="2">
        <v>472.0</v>
      </c>
      <c r="B476" s="3">
        <v>45753.0</v>
      </c>
      <c r="C476" s="5" t="s">
        <v>9</v>
      </c>
      <c r="D476" s="5" t="s">
        <v>10</v>
      </c>
      <c r="E476" s="6">
        <v>-3500.0</v>
      </c>
      <c r="F476" s="7">
        <f t="shared" si="4"/>
        <v>28144.38</v>
      </c>
      <c r="G476" s="5" t="s">
        <v>233</v>
      </c>
      <c r="H476" s="5"/>
      <c r="I476" s="8">
        <f t="shared" si="7"/>
        <v>4</v>
      </c>
      <c r="J476" s="8">
        <f t="shared" si="8"/>
        <v>2025</v>
      </c>
      <c r="K476" s="8" t="str">
        <f t="shared" si="3"/>
        <v>2025 - 4</v>
      </c>
    </row>
    <row r="477" outlineLevel="1">
      <c r="A477" s="2">
        <v>473.0</v>
      </c>
      <c r="B477" s="3">
        <v>45753.0</v>
      </c>
      <c r="C477" s="5" t="s">
        <v>16</v>
      </c>
      <c r="D477" s="5" t="s">
        <v>10</v>
      </c>
      <c r="E477" s="6">
        <v>-472.0</v>
      </c>
      <c r="F477" s="7">
        <f t="shared" si="4"/>
        <v>27672.38</v>
      </c>
      <c r="G477" s="5" t="s">
        <v>163</v>
      </c>
      <c r="H477" s="5"/>
      <c r="I477" s="8">
        <f t="shared" si="7"/>
        <v>4</v>
      </c>
      <c r="J477" s="8">
        <f t="shared" si="8"/>
        <v>2025</v>
      </c>
      <c r="K477" s="8" t="str">
        <f t="shared" si="3"/>
        <v>2025 - 4</v>
      </c>
    </row>
    <row r="478" outlineLevel="1">
      <c r="A478" s="2">
        <v>474.0</v>
      </c>
      <c r="B478" s="3">
        <v>45753.0</v>
      </c>
      <c r="C478" s="5" t="s">
        <v>35</v>
      </c>
      <c r="D478" s="5" t="s">
        <v>10</v>
      </c>
      <c r="E478" s="6">
        <v>30000.0</v>
      </c>
      <c r="F478" s="7">
        <f t="shared" si="4"/>
        <v>57672.38</v>
      </c>
      <c r="G478" s="5" t="s">
        <v>36</v>
      </c>
      <c r="H478" s="5"/>
      <c r="I478" s="8">
        <f t="shared" si="7"/>
        <v>4</v>
      </c>
      <c r="J478" s="8">
        <f t="shared" si="8"/>
        <v>2025</v>
      </c>
      <c r="K478" s="8" t="str">
        <f t="shared" si="3"/>
        <v>2025 - 4</v>
      </c>
    </row>
    <row r="479" outlineLevel="1">
      <c r="A479" s="2">
        <v>475.0</v>
      </c>
      <c r="B479" s="3">
        <v>45753.0</v>
      </c>
      <c r="C479" s="5" t="s">
        <v>18</v>
      </c>
      <c r="D479" s="5" t="s">
        <v>10</v>
      </c>
      <c r="E479" s="6">
        <v>-399.15</v>
      </c>
      <c r="F479" s="7">
        <f t="shared" si="4"/>
        <v>57273.23</v>
      </c>
      <c r="G479" s="5" t="s">
        <v>234</v>
      </c>
      <c r="H479" s="5"/>
      <c r="I479" s="8">
        <f t="shared" si="7"/>
        <v>4</v>
      </c>
      <c r="J479" s="8">
        <f t="shared" si="8"/>
        <v>2025</v>
      </c>
      <c r="K479" s="8" t="str">
        <f t="shared" si="3"/>
        <v>2025 - 4</v>
      </c>
    </row>
    <row r="480" outlineLevel="1">
      <c r="A480" s="2">
        <v>476.0</v>
      </c>
      <c r="B480" s="3">
        <v>45754.0</v>
      </c>
      <c r="C480" s="5" t="s">
        <v>18</v>
      </c>
      <c r="D480" s="5" t="s">
        <v>10</v>
      </c>
      <c r="E480" s="6">
        <v>-228.9</v>
      </c>
      <c r="F480" s="7">
        <f t="shared" si="4"/>
        <v>57044.33</v>
      </c>
      <c r="G480" s="5" t="s">
        <v>235</v>
      </c>
      <c r="H480" s="5"/>
      <c r="I480" s="8">
        <f t="shared" si="7"/>
        <v>4</v>
      </c>
      <c r="J480" s="8">
        <f t="shared" si="8"/>
        <v>2025</v>
      </c>
      <c r="K480" s="8" t="str">
        <f t="shared" si="3"/>
        <v>2025 - 4</v>
      </c>
    </row>
    <row r="481" outlineLevel="1">
      <c r="A481" s="2">
        <v>477.0</v>
      </c>
      <c r="B481" s="3">
        <v>45754.0</v>
      </c>
      <c r="C481" s="5" t="s">
        <v>16</v>
      </c>
      <c r="D481" s="5" t="s">
        <v>10</v>
      </c>
      <c r="E481" s="6">
        <v>-1990.0</v>
      </c>
      <c r="F481" s="7">
        <f t="shared" si="4"/>
        <v>55054.33</v>
      </c>
      <c r="G481" s="5" t="s">
        <v>236</v>
      </c>
      <c r="H481" s="5"/>
      <c r="I481" s="8">
        <f t="shared" si="7"/>
        <v>4</v>
      </c>
      <c r="J481" s="8">
        <f t="shared" si="8"/>
        <v>2025</v>
      </c>
      <c r="K481" s="8" t="str">
        <f t="shared" si="3"/>
        <v>2025 - 4</v>
      </c>
    </row>
    <row r="482" outlineLevel="1">
      <c r="A482" s="2">
        <v>478.0</v>
      </c>
      <c r="B482" s="3">
        <v>45754.0</v>
      </c>
      <c r="C482" s="5" t="s">
        <v>16</v>
      </c>
      <c r="D482" s="5" t="s">
        <v>10</v>
      </c>
      <c r="E482" s="6">
        <v>-14990.0</v>
      </c>
      <c r="F482" s="7">
        <f t="shared" si="4"/>
        <v>40064.33</v>
      </c>
      <c r="G482" s="5" t="s">
        <v>237</v>
      </c>
      <c r="H482" s="5"/>
      <c r="I482" s="8">
        <f t="shared" si="7"/>
        <v>4</v>
      </c>
      <c r="J482" s="8">
        <f t="shared" si="8"/>
        <v>2025</v>
      </c>
      <c r="K482" s="8" t="str">
        <f t="shared" si="3"/>
        <v>2025 - 4</v>
      </c>
    </row>
    <row r="483" outlineLevel="1">
      <c r="A483" s="2">
        <v>479.0</v>
      </c>
      <c r="B483" s="3">
        <v>45754.0</v>
      </c>
      <c r="C483" s="5" t="s">
        <v>18</v>
      </c>
      <c r="D483" s="5" t="s">
        <v>10</v>
      </c>
      <c r="E483" s="6">
        <v>-444.95</v>
      </c>
      <c r="F483" s="7">
        <f t="shared" si="4"/>
        <v>39619.38</v>
      </c>
      <c r="G483" s="5" t="s">
        <v>234</v>
      </c>
      <c r="H483" s="5"/>
      <c r="I483" s="8">
        <f t="shared" si="7"/>
        <v>4</v>
      </c>
      <c r="J483" s="8">
        <f t="shared" si="8"/>
        <v>2025</v>
      </c>
      <c r="K483" s="8" t="str">
        <f t="shared" si="3"/>
        <v>2025 - 4</v>
      </c>
    </row>
    <row r="484" outlineLevel="1">
      <c r="A484" s="2">
        <v>480.0</v>
      </c>
      <c r="B484" s="3">
        <v>45755.0</v>
      </c>
      <c r="C484" s="5" t="s">
        <v>149</v>
      </c>
      <c r="D484" s="5" t="s">
        <v>10</v>
      </c>
      <c r="E484" s="6">
        <v>-6547.0</v>
      </c>
      <c r="F484" s="7">
        <f t="shared" si="4"/>
        <v>33072.38</v>
      </c>
      <c r="G484" s="5" t="s">
        <v>129</v>
      </c>
      <c r="H484" s="5"/>
      <c r="I484" s="8">
        <f t="shared" si="7"/>
        <v>4</v>
      </c>
      <c r="J484" s="8">
        <f t="shared" si="8"/>
        <v>2025</v>
      </c>
      <c r="K484" s="8" t="str">
        <f t="shared" si="3"/>
        <v>2025 - 4</v>
      </c>
    </row>
    <row r="485" outlineLevel="1">
      <c r="A485" s="2">
        <v>481.0</v>
      </c>
      <c r="B485" s="3">
        <v>45755.0</v>
      </c>
      <c r="C485" s="5" t="s">
        <v>9</v>
      </c>
      <c r="D485" s="5" t="s">
        <v>10</v>
      </c>
      <c r="E485" s="6">
        <v>-67.0</v>
      </c>
      <c r="F485" s="7">
        <f t="shared" si="4"/>
        <v>33005.38</v>
      </c>
      <c r="H485" s="5"/>
      <c r="I485" s="8">
        <f t="shared" si="7"/>
        <v>4</v>
      </c>
      <c r="J485" s="8">
        <f t="shared" si="8"/>
        <v>2025</v>
      </c>
      <c r="K485" s="8" t="str">
        <f t="shared" si="3"/>
        <v>2025 - 4</v>
      </c>
    </row>
    <row r="486" outlineLevel="1">
      <c r="A486" s="2">
        <v>482.0</v>
      </c>
      <c r="B486" s="3">
        <v>45755.0</v>
      </c>
      <c r="C486" s="5" t="s">
        <v>18</v>
      </c>
      <c r="D486" s="5" t="s">
        <v>10</v>
      </c>
      <c r="E486" s="6">
        <v>-427.0</v>
      </c>
      <c r="F486" s="7">
        <f t="shared" si="4"/>
        <v>32578.38</v>
      </c>
      <c r="G486" s="5" t="s">
        <v>238</v>
      </c>
      <c r="H486" s="5"/>
      <c r="I486" s="8">
        <f t="shared" si="7"/>
        <v>4</v>
      </c>
      <c r="J486" s="8">
        <f t="shared" si="8"/>
        <v>2025</v>
      </c>
      <c r="K486" s="8" t="str">
        <f t="shared" si="3"/>
        <v>2025 - 4</v>
      </c>
    </row>
    <row r="487" outlineLevel="1">
      <c r="A487" s="2">
        <v>483.0</v>
      </c>
      <c r="B487" s="3">
        <v>45755.0</v>
      </c>
      <c r="C487" s="5" t="s">
        <v>16</v>
      </c>
      <c r="D487" s="5" t="s">
        <v>10</v>
      </c>
      <c r="E487" s="6">
        <v>-171.0</v>
      </c>
      <c r="F487" s="7">
        <f t="shared" si="4"/>
        <v>32407.38</v>
      </c>
      <c r="G487" s="5" t="s">
        <v>163</v>
      </c>
      <c r="H487" s="5"/>
      <c r="I487" s="8">
        <f t="shared" si="7"/>
        <v>4</v>
      </c>
      <c r="J487" s="8">
        <f t="shared" si="8"/>
        <v>2025</v>
      </c>
      <c r="K487" s="8" t="str">
        <f t="shared" si="3"/>
        <v>2025 - 4</v>
      </c>
    </row>
    <row r="488" outlineLevel="1">
      <c r="A488" s="2">
        <v>484.0</v>
      </c>
      <c r="B488" s="3">
        <v>45755.0</v>
      </c>
      <c r="C488" s="5" t="s">
        <v>9</v>
      </c>
      <c r="D488" s="5" t="s">
        <v>10</v>
      </c>
      <c r="E488" s="6">
        <v>-458.0</v>
      </c>
      <c r="F488" s="7">
        <f t="shared" si="4"/>
        <v>31949.38</v>
      </c>
      <c r="G488" s="5" t="s">
        <v>239</v>
      </c>
      <c r="H488" s="5"/>
      <c r="I488" s="8">
        <f t="shared" si="7"/>
        <v>4</v>
      </c>
      <c r="J488" s="8">
        <f t="shared" si="8"/>
        <v>2025</v>
      </c>
      <c r="K488" s="8" t="str">
        <f t="shared" si="3"/>
        <v>2025 - 4</v>
      </c>
    </row>
    <row r="489" outlineLevel="1">
      <c r="A489" s="2">
        <v>485.0</v>
      </c>
      <c r="B489" s="3">
        <v>45756.0</v>
      </c>
      <c r="C489" s="5" t="s">
        <v>16</v>
      </c>
      <c r="D489" s="5" t="s">
        <v>10</v>
      </c>
      <c r="E489" s="6">
        <v>-1565.38</v>
      </c>
      <c r="F489" s="7">
        <f t="shared" si="4"/>
        <v>30384</v>
      </c>
      <c r="G489" s="5" t="s">
        <v>240</v>
      </c>
      <c r="H489" s="5"/>
      <c r="I489" s="8">
        <f t="shared" si="7"/>
        <v>4</v>
      </c>
      <c r="J489" s="8">
        <f t="shared" si="8"/>
        <v>2025</v>
      </c>
      <c r="K489" s="8" t="str">
        <f t="shared" si="3"/>
        <v>2025 - 4</v>
      </c>
    </row>
    <row r="490" outlineLevel="1">
      <c r="A490" s="2">
        <v>486.0</v>
      </c>
      <c r="B490" s="3">
        <v>45757.0</v>
      </c>
      <c r="C490" s="5" t="s">
        <v>9</v>
      </c>
      <c r="D490" s="5" t="s">
        <v>10</v>
      </c>
      <c r="E490" s="6">
        <v>-1110.0</v>
      </c>
      <c r="F490" s="7">
        <f t="shared" si="4"/>
        <v>29274</v>
      </c>
      <c r="H490" s="5"/>
      <c r="I490" s="8">
        <f t="shared" si="7"/>
        <v>4</v>
      </c>
      <c r="J490" s="8">
        <f t="shared" si="8"/>
        <v>2025</v>
      </c>
      <c r="K490" s="8" t="str">
        <f t="shared" si="3"/>
        <v>2025 - 4</v>
      </c>
    </row>
    <row r="491" outlineLevel="1">
      <c r="A491" s="2">
        <v>487.0</v>
      </c>
      <c r="B491" s="3">
        <v>45757.0</v>
      </c>
      <c r="C491" s="5" t="s">
        <v>49</v>
      </c>
      <c r="D491" s="5" t="s">
        <v>10</v>
      </c>
      <c r="E491" s="6">
        <v>-1825.46</v>
      </c>
      <c r="F491" s="7">
        <f t="shared" si="4"/>
        <v>27448.54</v>
      </c>
      <c r="G491" s="5" t="s">
        <v>110</v>
      </c>
      <c r="H491" s="5"/>
      <c r="I491" s="8">
        <f t="shared" si="7"/>
        <v>4</v>
      </c>
      <c r="J491" s="8">
        <f t="shared" si="8"/>
        <v>2025</v>
      </c>
      <c r="K491" s="8" t="str">
        <f t="shared" si="3"/>
        <v>2025 - 4</v>
      </c>
    </row>
    <row r="492" outlineLevel="1">
      <c r="A492" s="2">
        <v>488.0</v>
      </c>
      <c r="B492" s="3">
        <v>45758.0</v>
      </c>
      <c r="C492" s="5" t="s">
        <v>31</v>
      </c>
      <c r="D492" s="5" t="s">
        <v>20</v>
      </c>
      <c r="E492" s="6">
        <v>-451.03</v>
      </c>
      <c r="F492" s="7">
        <f t="shared" si="4"/>
        <v>26997.51</v>
      </c>
      <c r="G492" s="5" t="s">
        <v>64</v>
      </c>
      <c r="H492" s="5"/>
      <c r="I492" s="8">
        <f t="shared" si="7"/>
        <v>4</v>
      </c>
      <c r="J492" s="8">
        <f t="shared" si="8"/>
        <v>2025</v>
      </c>
      <c r="K492" s="8" t="str">
        <f t="shared" si="3"/>
        <v>2025 - 4</v>
      </c>
    </row>
    <row r="493" outlineLevel="1">
      <c r="A493" s="2">
        <v>489.0</v>
      </c>
      <c r="B493" s="3">
        <v>45759.0</v>
      </c>
      <c r="C493" s="5" t="s">
        <v>31</v>
      </c>
      <c r="D493" s="5" t="s">
        <v>20</v>
      </c>
      <c r="E493" s="6">
        <v>-588.37</v>
      </c>
      <c r="F493" s="7">
        <f t="shared" si="4"/>
        <v>26409.14</v>
      </c>
      <c r="G493" s="5" t="s">
        <v>64</v>
      </c>
      <c r="H493" s="5"/>
      <c r="I493" s="8">
        <f t="shared" si="7"/>
        <v>4</v>
      </c>
      <c r="J493" s="8">
        <f t="shared" si="8"/>
        <v>2025</v>
      </c>
      <c r="K493" s="8" t="str">
        <f t="shared" si="3"/>
        <v>2025 - 4</v>
      </c>
    </row>
    <row r="494" outlineLevel="1">
      <c r="A494" s="2">
        <v>490.0</v>
      </c>
      <c r="B494" s="3">
        <v>45759.0</v>
      </c>
      <c r="C494" s="5" t="s">
        <v>16</v>
      </c>
      <c r="D494" s="5" t="s">
        <v>10</v>
      </c>
      <c r="E494" s="6">
        <v>-289.0</v>
      </c>
      <c r="F494" s="7">
        <f t="shared" si="4"/>
        <v>26120.14</v>
      </c>
      <c r="G494" s="5" t="s">
        <v>241</v>
      </c>
      <c r="H494" s="5"/>
      <c r="I494" s="8">
        <f t="shared" si="7"/>
        <v>4</v>
      </c>
      <c r="J494" s="8">
        <f t="shared" si="8"/>
        <v>2025</v>
      </c>
      <c r="K494" s="8" t="str">
        <f t="shared" si="3"/>
        <v>2025 - 4</v>
      </c>
    </row>
    <row r="495" outlineLevel="1">
      <c r="A495" s="2">
        <v>491.0</v>
      </c>
      <c r="B495" s="3">
        <v>45760.0</v>
      </c>
      <c r="C495" s="5" t="s">
        <v>31</v>
      </c>
      <c r="D495" s="5" t="s">
        <v>20</v>
      </c>
      <c r="E495" s="6">
        <v>-631.95</v>
      </c>
      <c r="F495" s="7">
        <f t="shared" si="4"/>
        <v>25488.19</v>
      </c>
      <c r="G495" s="5" t="s">
        <v>64</v>
      </c>
      <c r="H495" s="5"/>
      <c r="I495" s="8">
        <f t="shared" si="7"/>
        <v>4</v>
      </c>
      <c r="J495" s="8">
        <f t="shared" si="8"/>
        <v>2025</v>
      </c>
      <c r="K495" s="8" t="str">
        <f t="shared" si="3"/>
        <v>2025 - 4</v>
      </c>
    </row>
    <row r="496" outlineLevel="1">
      <c r="A496" s="2">
        <v>492.0</v>
      </c>
      <c r="B496" s="3">
        <v>45760.0</v>
      </c>
      <c r="C496" s="5" t="s">
        <v>16</v>
      </c>
      <c r="D496" s="5" t="s">
        <v>10</v>
      </c>
      <c r="E496" s="6">
        <v>-3098.72</v>
      </c>
      <c r="F496" s="7">
        <f t="shared" si="4"/>
        <v>22389.47</v>
      </c>
      <c r="G496" s="5" t="s">
        <v>242</v>
      </c>
      <c r="H496" s="5"/>
      <c r="I496" s="8">
        <f t="shared" si="7"/>
        <v>4</v>
      </c>
      <c r="J496" s="8">
        <f t="shared" si="8"/>
        <v>2025</v>
      </c>
      <c r="K496" s="8" t="str">
        <f t="shared" si="3"/>
        <v>2025 - 4</v>
      </c>
    </row>
    <row r="497" outlineLevel="1">
      <c r="A497" s="2">
        <v>493.0</v>
      </c>
      <c r="B497" s="3">
        <v>45760.0</v>
      </c>
      <c r="C497" s="5" t="s">
        <v>16</v>
      </c>
      <c r="D497" s="5" t="s">
        <v>10</v>
      </c>
      <c r="E497" s="6">
        <v>-4309.0</v>
      </c>
      <c r="F497" s="7">
        <f t="shared" si="4"/>
        <v>18080.47</v>
      </c>
      <c r="G497" s="5" t="s">
        <v>243</v>
      </c>
      <c r="H497" s="5"/>
      <c r="I497" s="8">
        <f t="shared" si="7"/>
        <v>4</v>
      </c>
      <c r="J497" s="8">
        <f t="shared" si="8"/>
        <v>2025</v>
      </c>
      <c r="K497" s="8" t="str">
        <f t="shared" si="3"/>
        <v>2025 - 4</v>
      </c>
    </row>
    <row r="498" outlineLevel="1">
      <c r="A498" s="2">
        <v>494.0</v>
      </c>
      <c r="B498" s="3">
        <v>45761.0</v>
      </c>
      <c r="C498" s="5" t="s">
        <v>16</v>
      </c>
      <c r="D498" s="5" t="s">
        <v>10</v>
      </c>
      <c r="E498" s="6">
        <v>-63.0</v>
      </c>
      <c r="F498" s="7">
        <f t="shared" si="4"/>
        <v>18017.47</v>
      </c>
      <c r="G498" s="5" t="s">
        <v>240</v>
      </c>
      <c r="H498" s="5"/>
      <c r="I498" s="8">
        <f t="shared" si="7"/>
        <v>4</v>
      </c>
      <c r="J498" s="8">
        <f t="shared" si="8"/>
        <v>2025</v>
      </c>
      <c r="K498" s="8" t="str">
        <f t="shared" si="3"/>
        <v>2025 - 4</v>
      </c>
    </row>
    <row r="499" outlineLevel="1">
      <c r="A499" s="2">
        <v>495.0</v>
      </c>
      <c r="B499" s="3">
        <v>45761.0</v>
      </c>
      <c r="C499" s="5" t="s">
        <v>18</v>
      </c>
      <c r="D499" s="5" t="s">
        <v>39</v>
      </c>
      <c r="E499" s="6">
        <v>-1394.0</v>
      </c>
      <c r="F499" s="7">
        <f t="shared" si="4"/>
        <v>16623.47</v>
      </c>
      <c r="H499" s="5"/>
      <c r="I499" s="8">
        <f t="shared" si="7"/>
        <v>4</v>
      </c>
      <c r="J499" s="8">
        <f t="shared" si="8"/>
        <v>2025</v>
      </c>
      <c r="K499" s="8" t="str">
        <f t="shared" si="3"/>
        <v>2025 - 4</v>
      </c>
    </row>
    <row r="500" outlineLevel="1">
      <c r="A500" s="2">
        <v>496.0</v>
      </c>
      <c r="B500" s="3">
        <v>45762.0</v>
      </c>
      <c r="C500" s="5" t="s">
        <v>49</v>
      </c>
      <c r="D500" s="5" t="s">
        <v>10</v>
      </c>
      <c r="E500" s="6">
        <v>-649.0</v>
      </c>
      <c r="F500" s="7">
        <f t="shared" si="4"/>
        <v>15974.47</v>
      </c>
      <c r="G500" s="5" t="s">
        <v>50</v>
      </c>
      <c r="H500" s="5"/>
      <c r="I500" s="8">
        <f t="shared" si="7"/>
        <v>4</v>
      </c>
      <c r="J500" s="8">
        <f t="shared" si="8"/>
        <v>2025</v>
      </c>
      <c r="K500" s="8" t="str">
        <f t="shared" si="3"/>
        <v>2025 - 4</v>
      </c>
    </row>
    <row r="501" outlineLevel="1">
      <c r="A501" s="2">
        <v>497.0</v>
      </c>
      <c r="B501" s="3">
        <v>45762.0</v>
      </c>
      <c r="C501" s="5" t="s">
        <v>16</v>
      </c>
      <c r="D501" s="5" t="s">
        <v>10</v>
      </c>
      <c r="E501" s="6">
        <v>-395.0</v>
      </c>
      <c r="F501" s="7">
        <f t="shared" si="4"/>
        <v>15579.47</v>
      </c>
      <c r="G501" s="5" t="s">
        <v>163</v>
      </c>
      <c r="H501" s="5"/>
      <c r="I501" s="8">
        <f t="shared" si="7"/>
        <v>4</v>
      </c>
      <c r="J501" s="8">
        <f t="shared" si="8"/>
        <v>2025</v>
      </c>
      <c r="K501" s="8" t="str">
        <f t="shared" si="3"/>
        <v>2025 - 4</v>
      </c>
    </row>
    <row r="502" outlineLevel="1">
      <c r="A502" s="2">
        <v>498.0</v>
      </c>
      <c r="B502" s="3">
        <v>45763.0</v>
      </c>
      <c r="C502" s="5" t="s">
        <v>16</v>
      </c>
      <c r="D502" s="5" t="s">
        <v>10</v>
      </c>
      <c r="E502" s="6">
        <v>-244.0</v>
      </c>
      <c r="F502" s="7">
        <f t="shared" si="4"/>
        <v>15335.47</v>
      </c>
      <c r="G502" s="5" t="s">
        <v>163</v>
      </c>
      <c r="H502" s="5"/>
      <c r="I502" s="8">
        <f t="shared" si="7"/>
        <v>4</v>
      </c>
      <c r="J502" s="8">
        <f t="shared" si="8"/>
        <v>2025</v>
      </c>
      <c r="K502" s="8" t="str">
        <f t="shared" si="3"/>
        <v>2025 - 4</v>
      </c>
    </row>
    <row r="503" outlineLevel="1">
      <c r="A503" s="2">
        <v>499.0</v>
      </c>
      <c r="B503" s="3">
        <v>45764.0</v>
      </c>
      <c r="C503" s="5" t="s">
        <v>18</v>
      </c>
      <c r="D503" s="5" t="s">
        <v>10</v>
      </c>
      <c r="E503" s="6">
        <v>-582.7</v>
      </c>
      <c r="F503" s="7">
        <f t="shared" si="4"/>
        <v>14752.77</v>
      </c>
      <c r="G503" s="5" t="s">
        <v>234</v>
      </c>
      <c r="H503" s="5"/>
      <c r="I503" s="8">
        <f t="shared" si="7"/>
        <v>4</v>
      </c>
      <c r="J503" s="8">
        <f t="shared" si="8"/>
        <v>2025</v>
      </c>
      <c r="K503" s="8" t="str">
        <f t="shared" si="3"/>
        <v>2025 - 4</v>
      </c>
    </row>
    <row r="504" outlineLevel="1">
      <c r="A504" s="2">
        <v>500.0</v>
      </c>
      <c r="B504" s="3">
        <v>45766.0</v>
      </c>
      <c r="C504" s="5" t="s">
        <v>16</v>
      </c>
      <c r="D504" s="5" t="s">
        <v>10</v>
      </c>
      <c r="E504" s="6">
        <v>-870.0</v>
      </c>
      <c r="F504" s="7">
        <f t="shared" si="4"/>
        <v>13882.77</v>
      </c>
      <c r="G504" s="5" t="s">
        <v>163</v>
      </c>
      <c r="H504" s="5"/>
      <c r="I504" s="8">
        <f t="shared" si="7"/>
        <v>4</v>
      </c>
      <c r="J504" s="8">
        <f t="shared" si="8"/>
        <v>2025</v>
      </c>
      <c r="K504" s="8" t="str">
        <f t="shared" si="3"/>
        <v>2025 - 4</v>
      </c>
    </row>
    <row r="505" outlineLevel="1">
      <c r="A505" s="2">
        <v>501.0</v>
      </c>
      <c r="B505" s="3">
        <v>45766.0</v>
      </c>
      <c r="C505" s="5" t="s">
        <v>18</v>
      </c>
      <c r="D505" s="5" t="s">
        <v>10</v>
      </c>
      <c r="E505" s="6">
        <v>-523.9</v>
      </c>
      <c r="F505" s="7">
        <f t="shared" si="4"/>
        <v>13358.87</v>
      </c>
      <c r="G505" s="5" t="s">
        <v>234</v>
      </c>
      <c r="H505" s="5"/>
      <c r="I505" s="8">
        <f t="shared" si="7"/>
        <v>4</v>
      </c>
      <c r="J505" s="8">
        <f t="shared" si="8"/>
        <v>2025</v>
      </c>
      <c r="K505" s="8" t="str">
        <f t="shared" si="3"/>
        <v>2025 - 4</v>
      </c>
    </row>
    <row r="506" outlineLevel="1">
      <c r="A506" s="2">
        <v>502.0</v>
      </c>
      <c r="B506" s="3">
        <v>45767.0</v>
      </c>
      <c r="C506" s="5" t="s">
        <v>16</v>
      </c>
      <c r="D506" s="5" t="s">
        <v>10</v>
      </c>
      <c r="E506" s="6">
        <v>-1129.0</v>
      </c>
      <c r="F506" s="7">
        <f t="shared" si="4"/>
        <v>12229.87</v>
      </c>
      <c r="G506" s="5" t="s">
        <v>244</v>
      </c>
      <c r="H506" s="5"/>
      <c r="I506" s="8">
        <f t="shared" si="7"/>
        <v>4</v>
      </c>
      <c r="J506" s="8">
        <f t="shared" si="8"/>
        <v>2025</v>
      </c>
      <c r="K506" s="8" t="str">
        <f t="shared" si="3"/>
        <v>2025 - 4</v>
      </c>
    </row>
    <row r="507" outlineLevel="1">
      <c r="A507" s="2">
        <v>503.0</v>
      </c>
      <c r="B507" s="3">
        <v>45767.0</v>
      </c>
      <c r="C507" s="5" t="s">
        <v>18</v>
      </c>
      <c r="D507" s="5" t="s">
        <v>10</v>
      </c>
      <c r="E507" s="6">
        <v>-392.9</v>
      </c>
      <c r="F507" s="7">
        <f t="shared" si="4"/>
        <v>11836.97</v>
      </c>
      <c r="G507" s="5" t="s">
        <v>234</v>
      </c>
      <c r="H507" s="5"/>
      <c r="I507" s="8">
        <f t="shared" si="7"/>
        <v>4</v>
      </c>
      <c r="J507" s="8">
        <f t="shared" si="8"/>
        <v>2025</v>
      </c>
      <c r="K507" s="8" t="str">
        <f t="shared" si="3"/>
        <v>2025 - 4</v>
      </c>
    </row>
    <row r="508" outlineLevel="1">
      <c r="A508" s="2">
        <v>504.0</v>
      </c>
      <c r="B508" s="3">
        <v>45768.0</v>
      </c>
      <c r="C508" s="5" t="s">
        <v>16</v>
      </c>
      <c r="D508" s="5" t="s">
        <v>10</v>
      </c>
      <c r="E508" s="6">
        <v>-1656.0</v>
      </c>
      <c r="F508" s="7">
        <f t="shared" si="4"/>
        <v>10180.97</v>
      </c>
      <c r="G508" s="5" t="s">
        <v>245</v>
      </c>
      <c r="H508" s="5"/>
      <c r="I508" s="8">
        <f t="shared" si="7"/>
        <v>4</v>
      </c>
      <c r="J508" s="8">
        <f t="shared" si="8"/>
        <v>2025</v>
      </c>
      <c r="K508" s="8" t="str">
        <f t="shared" si="3"/>
        <v>2025 - 4</v>
      </c>
    </row>
    <row r="509" outlineLevel="1">
      <c r="A509" s="2">
        <v>505.0</v>
      </c>
      <c r="B509" s="3">
        <v>45768.0</v>
      </c>
      <c r="C509" s="5" t="s">
        <v>16</v>
      </c>
      <c r="D509" s="5" t="s">
        <v>10</v>
      </c>
      <c r="E509" s="6">
        <v>-143.0</v>
      </c>
      <c r="F509" s="7">
        <f t="shared" si="4"/>
        <v>10037.97</v>
      </c>
      <c r="H509" s="5"/>
      <c r="I509" s="8">
        <f t="shared" si="7"/>
        <v>4</v>
      </c>
      <c r="J509" s="8">
        <f t="shared" si="8"/>
        <v>2025</v>
      </c>
      <c r="K509" s="8" t="str">
        <f t="shared" si="3"/>
        <v>2025 - 4</v>
      </c>
    </row>
    <row r="510" outlineLevel="1">
      <c r="A510" s="2">
        <v>506.0</v>
      </c>
      <c r="B510" s="3">
        <v>45768.0</v>
      </c>
      <c r="C510" s="5" t="s">
        <v>18</v>
      </c>
      <c r="D510" s="5" t="s">
        <v>10</v>
      </c>
      <c r="E510" s="6">
        <v>-213.0</v>
      </c>
      <c r="F510" s="7">
        <f t="shared" si="4"/>
        <v>9824.97</v>
      </c>
      <c r="G510" s="5" t="s">
        <v>246</v>
      </c>
      <c r="H510" s="5"/>
      <c r="I510" s="8">
        <f t="shared" si="7"/>
        <v>4</v>
      </c>
      <c r="J510" s="8">
        <f t="shared" si="8"/>
        <v>2025</v>
      </c>
      <c r="K510" s="8" t="str">
        <f t="shared" si="3"/>
        <v>2025 - 4</v>
      </c>
    </row>
    <row r="511" outlineLevel="1">
      <c r="A511" s="2">
        <v>507.0</v>
      </c>
      <c r="B511" s="3">
        <v>45768.0</v>
      </c>
      <c r="C511" s="5" t="s">
        <v>18</v>
      </c>
      <c r="D511" s="5" t="s">
        <v>10</v>
      </c>
      <c r="E511" s="6">
        <v>-519.8</v>
      </c>
      <c r="F511" s="7">
        <f t="shared" si="4"/>
        <v>9305.17</v>
      </c>
      <c r="G511" s="5" t="s">
        <v>234</v>
      </c>
      <c r="H511" s="5"/>
      <c r="I511" s="8">
        <f t="shared" si="7"/>
        <v>4</v>
      </c>
      <c r="J511" s="8">
        <f t="shared" si="8"/>
        <v>2025</v>
      </c>
      <c r="K511" s="8" t="str">
        <f t="shared" si="3"/>
        <v>2025 - 4</v>
      </c>
    </row>
    <row r="512" outlineLevel="1">
      <c r="A512" s="2">
        <v>508.0</v>
      </c>
      <c r="B512" s="3">
        <v>45768.0</v>
      </c>
      <c r="C512" s="5" t="s">
        <v>35</v>
      </c>
      <c r="D512" s="5" t="s">
        <v>10</v>
      </c>
      <c r="E512" s="6">
        <v>20000.0</v>
      </c>
      <c r="F512" s="7">
        <f t="shared" si="4"/>
        <v>29305.17</v>
      </c>
      <c r="G512" s="5" t="s">
        <v>36</v>
      </c>
      <c r="H512" s="5"/>
      <c r="I512" s="8">
        <f t="shared" si="7"/>
        <v>4</v>
      </c>
      <c r="J512" s="8">
        <f t="shared" si="8"/>
        <v>2025</v>
      </c>
      <c r="K512" s="8" t="str">
        <f t="shared" si="3"/>
        <v>2025 - 4</v>
      </c>
    </row>
    <row r="513" outlineLevel="1">
      <c r="A513" s="2">
        <v>509.0</v>
      </c>
      <c r="B513" s="3">
        <v>45769.0</v>
      </c>
      <c r="C513" s="5" t="s">
        <v>16</v>
      </c>
      <c r="D513" s="5" t="s">
        <v>10</v>
      </c>
      <c r="E513" s="6">
        <v>-268.81</v>
      </c>
      <c r="F513" s="7">
        <f t="shared" si="4"/>
        <v>29036.36</v>
      </c>
      <c r="G513" s="5" t="s">
        <v>240</v>
      </c>
      <c r="H513" s="5"/>
      <c r="I513" s="8">
        <f t="shared" si="7"/>
        <v>4</v>
      </c>
      <c r="J513" s="8">
        <f t="shared" si="8"/>
        <v>2025</v>
      </c>
      <c r="K513" s="8" t="str">
        <f t="shared" si="3"/>
        <v>2025 - 4</v>
      </c>
    </row>
    <row r="514" outlineLevel="1">
      <c r="A514" s="2">
        <v>510.0</v>
      </c>
      <c r="B514" s="3">
        <v>45769.0</v>
      </c>
      <c r="C514" s="5" t="s">
        <v>16</v>
      </c>
      <c r="D514" s="5" t="s">
        <v>10</v>
      </c>
      <c r="E514" s="6">
        <v>-26.0</v>
      </c>
      <c r="F514" s="7">
        <f t="shared" si="4"/>
        <v>29010.36</v>
      </c>
      <c r="G514" s="5" t="s">
        <v>247</v>
      </c>
      <c r="H514" s="5"/>
      <c r="I514" s="8">
        <f t="shared" si="7"/>
        <v>4</v>
      </c>
      <c r="J514" s="8">
        <f t="shared" si="8"/>
        <v>2025</v>
      </c>
      <c r="K514" s="8" t="str">
        <f t="shared" si="3"/>
        <v>2025 - 4</v>
      </c>
    </row>
    <row r="515" outlineLevel="1">
      <c r="A515" s="2">
        <v>511.0</v>
      </c>
      <c r="B515" s="3">
        <v>45770.0</v>
      </c>
      <c r="C515" s="5" t="s">
        <v>16</v>
      </c>
      <c r="D515" s="5" t="s">
        <v>10</v>
      </c>
      <c r="E515" s="6">
        <v>-386.0</v>
      </c>
      <c r="F515" s="7">
        <f t="shared" si="4"/>
        <v>28624.36</v>
      </c>
      <c r="G515" s="5" t="s">
        <v>240</v>
      </c>
      <c r="H515" s="5"/>
      <c r="I515" s="8">
        <f t="shared" si="7"/>
        <v>4</v>
      </c>
      <c r="J515" s="8">
        <f t="shared" si="8"/>
        <v>2025</v>
      </c>
      <c r="K515" s="8" t="str">
        <f t="shared" si="3"/>
        <v>2025 - 4</v>
      </c>
    </row>
    <row r="516" outlineLevel="1">
      <c r="A516" s="2">
        <v>512.0</v>
      </c>
      <c r="B516" s="3">
        <v>45770.0</v>
      </c>
      <c r="C516" s="5" t="s">
        <v>16</v>
      </c>
      <c r="D516" s="5" t="s">
        <v>10</v>
      </c>
      <c r="E516" s="6">
        <v>-1250.0</v>
      </c>
      <c r="F516" s="7">
        <f t="shared" si="4"/>
        <v>27374.36</v>
      </c>
      <c r="G516" s="5" t="s">
        <v>163</v>
      </c>
      <c r="H516" s="5"/>
      <c r="I516" s="8">
        <f t="shared" si="7"/>
        <v>4</v>
      </c>
      <c r="J516" s="8">
        <f t="shared" si="8"/>
        <v>2025</v>
      </c>
      <c r="K516" s="8" t="str">
        <f t="shared" si="3"/>
        <v>2025 - 4</v>
      </c>
    </row>
    <row r="517" outlineLevel="1">
      <c r="A517" s="2">
        <v>513.0</v>
      </c>
      <c r="B517" s="3">
        <v>45770.0</v>
      </c>
      <c r="C517" s="5" t="s">
        <v>16</v>
      </c>
      <c r="D517" s="5" t="s">
        <v>10</v>
      </c>
      <c r="E517" s="6">
        <v>-545.0</v>
      </c>
      <c r="F517" s="7">
        <f t="shared" si="4"/>
        <v>26829.36</v>
      </c>
      <c r="H517" s="5"/>
      <c r="I517" s="8">
        <f t="shared" si="7"/>
        <v>4</v>
      </c>
      <c r="J517" s="8">
        <f t="shared" si="8"/>
        <v>2025</v>
      </c>
      <c r="K517" s="8" t="str">
        <f t="shared" si="3"/>
        <v>2025 - 4</v>
      </c>
    </row>
    <row r="518" outlineLevel="1">
      <c r="A518" s="2">
        <v>514.0</v>
      </c>
      <c r="B518" s="3">
        <v>45771.0</v>
      </c>
      <c r="C518" s="5" t="s">
        <v>38</v>
      </c>
      <c r="D518" s="5" t="s">
        <v>10</v>
      </c>
      <c r="E518" s="6">
        <v>-500.18</v>
      </c>
      <c r="F518" s="7">
        <f t="shared" si="4"/>
        <v>26329.18</v>
      </c>
      <c r="G518" s="5" t="s">
        <v>114</v>
      </c>
      <c r="H518" s="5"/>
      <c r="I518" s="8">
        <f t="shared" si="7"/>
        <v>4</v>
      </c>
      <c r="J518" s="8">
        <f t="shared" si="8"/>
        <v>2025</v>
      </c>
      <c r="K518" s="8" t="str">
        <f t="shared" si="3"/>
        <v>2025 - 4</v>
      </c>
    </row>
    <row r="519" outlineLevel="1">
      <c r="A519" s="2">
        <v>515.0</v>
      </c>
      <c r="B519" s="3">
        <v>45772.0</v>
      </c>
      <c r="C519" s="5" t="s">
        <v>16</v>
      </c>
      <c r="D519" s="5" t="s">
        <v>10</v>
      </c>
      <c r="E519" s="6">
        <v>-200.0</v>
      </c>
      <c r="F519" s="7">
        <f t="shared" si="4"/>
        <v>26129.18</v>
      </c>
      <c r="H519" s="5"/>
      <c r="I519" s="8">
        <f t="shared" si="7"/>
        <v>4</v>
      </c>
      <c r="J519" s="8">
        <f t="shared" si="8"/>
        <v>2025</v>
      </c>
      <c r="K519" s="8" t="str">
        <f t="shared" si="3"/>
        <v>2025 - 4</v>
      </c>
    </row>
    <row r="520" outlineLevel="1">
      <c r="A520" s="2">
        <v>516.0</v>
      </c>
      <c r="B520" s="3">
        <v>45772.0</v>
      </c>
      <c r="C520" s="5" t="s">
        <v>18</v>
      </c>
      <c r="D520" s="5" t="s">
        <v>10</v>
      </c>
      <c r="E520" s="6">
        <v>-329.7</v>
      </c>
      <c r="F520" s="7">
        <f t="shared" si="4"/>
        <v>25799.48</v>
      </c>
      <c r="H520" s="5"/>
      <c r="I520" s="8">
        <f t="shared" si="7"/>
        <v>4</v>
      </c>
      <c r="J520" s="8">
        <f t="shared" si="8"/>
        <v>2025</v>
      </c>
      <c r="K520" s="8" t="str">
        <f t="shared" si="3"/>
        <v>2025 - 4</v>
      </c>
    </row>
    <row r="521" outlineLevel="1">
      <c r="A521" s="2">
        <v>517.0</v>
      </c>
      <c r="B521" s="3">
        <v>45773.0</v>
      </c>
      <c r="C521" s="5" t="s">
        <v>9</v>
      </c>
      <c r="D521" s="5" t="s">
        <v>10</v>
      </c>
      <c r="E521" s="6">
        <v>-100.0</v>
      </c>
      <c r="F521" s="7">
        <f t="shared" si="4"/>
        <v>25699.48</v>
      </c>
      <c r="G521" s="5"/>
      <c r="H521" s="5"/>
      <c r="I521" s="8">
        <f t="shared" si="7"/>
        <v>4</v>
      </c>
      <c r="J521" s="8">
        <f t="shared" si="8"/>
        <v>2025</v>
      </c>
      <c r="K521" s="8" t="str">
        <f t="shared" si="3"/>
        <v>2025 - 4</v>
      </c>
    </row>
    <row r="522" outlineLevel="1">
      <c r="A522" s="2">
        <v>518.0</v>
      </c>
      <c r="B522" s="3">
        <v>45773.0</v>
      </c>
      <c r="C522" s="5" t="s">
        <v>16</v>
      </c>
      <c r="D522" s="5" t="s">
        <v>10</v>
      </c>
      <c r="E522" s="6">
        <v>-2376.0</v>
      </c>
      <c r="F522" s="7">
        <f t="shared" si="4"/>
        <v>23323.48</v>
      </c>
      <c r="G522" s="5" t="s">
        <v>248</v>
      </c>
      <c r="H522" s="5"/>
      <c r="I522" s="8">
        <f t="shared" si="7"/>
        <v>4</v>
      </c>
      <c r="J522" s="8">
        <f t="shared" si="8"/>
        <v>2025</v>
      </c>
      <c r="K522" s="8" t="str">
        <f t="shared" si="3"/>
        <v>2025 - 4</v>
      </c>
    </row>
    <row r="523" outlineLevel="1">
      <c r="A523" s="2">
        <v>519.0</v>
      </c>
      <c r="B523" s="3">
        <v>45773.0</v>
      </c>
      <c r="C523" s="5" t="s">
        <v>49</v>
      </c>
      <c r="D523" s="5" t="s">
        <v>10</v>
      </c>
      <c r="E523" s="6">
        <v>-299.0</v>
      </c>
      <c r="F523" s="7">
        <f t="shared" si="4"/>
        <v>23024.48</v>
      </c>
      <c r="G523" s="5" t="s">
        <v>142</v>
      </c>
      <c r="H523" s="5"/>
      <c r="I523" s="8">
        <f t="shared" si="7"/>
        <v>4</v>
      </c>
      <c r="J523" s="8">
        <f t="shared" si="8"/>
        <v>2025</v>
      </c>
      <c r="K523" s="8" t="str">
        <f t="shared" si="3"/>
        <v>2025 - 4</v>
      </c>
    </row>
    <row r="524" outlineLevel="1">
      <c r="A524" s="2">
        <v>520.0</v>
      </c>
      <c r="B524" s="3">
        <v>45773.0</v>
      </c>
      <c r="C524" s="5" t="s">
        <v>16</v>
      </c>
      <c r="D524" s="5" t="s">
        <v>10</v>
      </c>
      <c r="E524" s="6">
        <v>-599.0</v>
      </c>
      <c r="F524" s="7">
        <f t="shared" si="4"/>
        <v>22425.48</v>
      </c>
      <c r="G524" s="5" t="s">
        <v>248</v>
      </c>
      <c r="H524" s="5"/>
      <c r="I524" s="8">
        <f t="shared" si="7"/>
        <v>4</v>
      </c>
      <c r="J524" s="8">
        <f t="shared" si="8"/>
        <v>2025</v>
      </c>
      <c r="K524" s="8" t="str">
        <f t="shared" si="3"/>
        <v>2025 - 4</v>
      </c>
    </row>
    <row r="525" outlineLevel="1">
      <c r="A525" s="2">
        <v>521.0</v>
      </c>
      <c r="B525" s="3">
        <v>45773.0</v>
      </c>
      <c r="C525" s="5" t="s">
        <v>16</v>
      </c>
      <c r="D525" s="5" t="s">
        <v>10</v>
      </c>
      <c r="E525" s="6">
        <v>-585.0</v>
      </c>
      <c r="F525" s="7">
        <f t="shared" si="4"/>
        <v>21840.48</v>
      </c>
      <c r="G525" s="5" t="s">
        <v>163</v>
      </c>
      <c r="H525" s="5"/>
      <c r="I525" s="8">
        <f t="shared" si="7"/>
        <v>4</v>
      </c>
      <c r="J525" s="8">
        <f t="shared" si="8"/>
        <v>2025</v>
      </c>
      <c r="K525" s="8" t="str">
        <f t="shared" si="3"/>
        <v>2025 - 4</v>
      </c>
    </row>
    <row r="526" outlineLevel="1">
      <c r="A526" s="2">
        <v>522.0</v>
      </c>
      <c r="B526" s="3">
        <v>45773.0</v>
      </c>
      <c r="C526" s="5" t="s">
        <v>18</v>
      </c>
      <c r="D526" s="5" t="s">
        <v>10</v>
      </c>
      <c r="E526" s="6">
        <v>-207.0</v>
      </c>
      <c r="F526" s="7">
        <f t="shared" si="4"/>
        <v>21633.48</v>
      </c>
      <c r="G526" s="5" t="s">
        <v>246</v>
      </c>
      <c r="H526" s="5"/>
      <c r="I526" s="8">
        <f t="shared" si="7"/>
        <v>4</v>
      </c>
      <c r="J526" s="8">
        <f t="shared" si="8"/>
        <v>2025</v>
      </c>
      <c r="K526" s="8" t="str">
        <f t="shared" si="3"/>
        <v>2025 - 4</v>
      </c>
    </row>
    <row r="527" outlineLevel="1">
      <c r="A527" s="2">
        <v>523.0</v>
      </c>
      <c r="B527" s="3">
        <v>45775.0</v>
      </c>
      <c r="C527" s="5" t="s">
        <v>9</v>
      </c>
      <c r="D527" s="5" t="s">
        <v>10</v>
      </c>
      <c r="E527" s="6">
        <v>-299.46</v>
      </c>
      <c r="F527" s="7">
        <f t="shared" si="4"/>
        <v>21334.02</v>
      </c>
      <c r="H527" s="5"/>
      <c r="I527" s="8">
        <f t="shared" si="7"/>
        <v>4</v>
      </c>
      <c r="J527" s="8">
        <f t="shared" si="8"/>
        <v>2025</v>
      </c>
      <c r="K527" s="8" t="str">
        <f t="shared" si="3"/>
        <v>2025 - 4</v>
      </c>
    </row>
    <row r="528" outlineLevel="1">
      <c r="A528" s="2">
        <v>524.0</v>
      </c>
      <c r="B528" s="3">
        <v>45775.0</v>
      </c>
      <c r="C528" s="5" t="s">
        <v>16</v>
      </c>
      <c r="D528" s="5" t="s">
        <v>10</v>
      </c>
      <c r="E528" s="6">
        <v>-469.62</v>
      </c>
      <c r="F528" s="7">
        <f t="shared" si="4"/>
        <v>20864.4</v>
      </c>
      <c r="G528" s="5" t="s">
        <v>240</v>
      </c>
      <c r="H528" s="5"/>
      <c r="I528" s="8">
        <f t="shared" si="7"/>
        <v>4</v>
      </c>
      <c r="J528" s="8">
        <f t="shared" si="8"/>
        <v>2025</v>
      </c>
      <c r="K528" s="8" t="str">
        <f t="shared" si="3"/>
        <v>2025 - 4</v>
      </c>
    </row>
    <row r="529" outlineLevel="1">
      <c r="A529" s="2">
        <v>525.0</v>
      </c>
      <c r="B529" s="3">
        <v>45775.0</v>
      </c>
      <c r="C529" s="5" t="s">
        <v>18</v>
      </c>
      <c r="D529" s="5" t="s">
        <v>10</v>
      </c>
      <c r="E529" s="6">
        <v>-235.65</v>
      </c>
      <c r="F529" s="7">
        <f t="shared" si="4"/>
        <v>20628.75</v>
      </c>
      <c r="G529" s="5" t="s">
        <v>234</v>
      </c>
      <c r="H529" s="5"/>
      <c r="I529" s="8">
        <f t="shared" si="7"/>
        <v>4</v>
      </c>
      <c r="J529" s="8">
        <f t="shared" si="8"/>
        <v>2025</v>
      </c>
      <c r="K529" s="8" t="str">
        <f t="shared" si="3"/>
        <v>2025 - 4</v>
      </c>
    </row>
    <row r="530" outlineLevel="1">
      <c r="A530" s="2">
        <v>526.0</v>
      </c>
      <c r="B530" s="3">
        <v>45775.0</v>
      </c>
      <c r="C530" s="5" t="s">
        <v>18</v>
      </c>
      <c r="D530" s="5" t="s">
        <v>10</v>
      </c>
      <c r="E530" s="6">
        <v>-102.0</v>
      </c>
      <c r="F530" s="7">
        <f t="shared" si="4"/>
        <v>20526.75</v>
      </c>
      <c r="G530" s="5" t="s">
        <v>249</v>
      </c>
      <c r="H530" s="5"/>
      <c r="I530" s="8">
        <f t="shared" si="7"/>
        <v>4</v>
      </c>
      <c r="J530" s="8">
        <f t="shared" si="8"/>
        <v>2025</v>
      </c>
      <c r="K530" s="8" t="str">
        <f t="shared" si="3"/>
        <v>2025 - 4</v>
      </c>
    </row>
    <row r="531" outlineLevel="1">
      <c r="A531" s="2">
        <v>527.0</v>
      </c>
      <c r="B531" s="3">
        <v>45775.0</v>
      </c>
      <c r="C531" s="5" t="s">
        <v>38</v>
      </c>
      <c r="D531" s="5" t="s">
        <v>10</v>
      </c>
      <c r="E531" s="6">
        <v>-536.08</v>
      </c>
      <c r="F531" s="7">
        <f t="shared" si="4"/>
        <v>19990.67</v>
      </c>
      <c r="G531" s="5" t="s">
        <v>114</v>
      </c>
      <c r="H531" s="5"/>
      <c r="I531" s="8">
        <f t="shared" si="7"/>
        <v>4</v>
      </c>
      <c r="J531" s="8">
        <f t="shared" si="8"/>
        <v>2025</v>
      </c>
      <c r="K531" s="8" t="str">
        <f t="shared" si="3"/>
        <v>2025 - 4</v>
      </c>
    </row>
    <row r="532" outlineLevel="1">
      <c r="A532" s="1">
        <v>528.0</v>
      </c>
      <c r="B532" s="25">
        <v>45777.0</v>
      </c>
      <c r="C532" s="26" t="s">
        <v>18</v>
      </c>
      <c r="D532" s="26" t="s">
        <v>10</v>
      </c>
      <c r="E532" s="27">
        <v>-470.41</v>
      </c>
      <c r="F532" s="28">
        <f t="shared" si="4"/>
        <v>19520.26</v>
      </c>
      <c r="G532" s="26" t="s">
        <v>235</v>
      </c>
      <c r="H532" s="26"/>
      <c r="I532" s="29">
        <f t="shared" si="7"/>
        <v>4</v>
      </c>
      <c r="J532" s="29">
        <f t="shared" si="8"/>
        <v>2025</v>
      </c>
      <c r="K532" s="29" t="str">
        <f t="shared" si="3"/>
        <v>2025 - 4</v>
      </c>
    </row>
    <row r="533">
      <c r="A533" s="13">
        <v>529.0</v>
      </c>
      <c r="B533" s="14">
        <v>45778.0</v>
      </c>
      <c r="C533" s="15" t="s">
        <v>18</v>
      </c>
      <c r="D533" s="15" t="s">
        <v>10</v>
      </c>
      <c r="E533" s="16">
        <v>-292.0</v>
      </c>
      <c r="F533" s="17">
        <f t="shared" si="4"/>
        <v>19228.26</v>
      </c>
      <c r="G533" s="15" t="s">
        <v>250</v>
      </c>
      <c r="H533" s="15"/>
      <c r="I533" s="18">
        <f t="shared" si="7"/>
        <v>5</v>
      </c>
      <c r="J533" s="18">
        <f t="shared" si="8"/>
        <v>2025</v>
      </c>
      <c r="K533" s="18" t="str">
        <f t="shared" si="3"/>
        <v>2025 - 5</v>
      </c>
    </row>
    <row r="534" outlineLevel="1">
      <c r="A534" s="2">
        <v>530.0</v>
      </c>
      <c r="B534" s="3">
        <v>45778.0</v>
      </c>
      <c r="C534" s="5" t="s">
        <v>9</v>
      </c>
      <c r="D534" s="5" t="s">
        <v>10</v>
      </c>
      <c r="E534" s="6">
        <v>-80.0</v>
      </c>
      <c r="F534" s="7">
        <f t="shared" si="4"/>
        <v>19148.26</v>
      </c>
      <c r="G534" s="5" t="s">
        <v>125</v>
      </c>
      <c r="H534" s="5"/>
      <c r="I534" s="8">
        <f t="shared" si="7"/>
        <v>5</v>
      </c>
      <c r="J534" s="8">
        <f t="shared" si="8"/>
        <v>2025</v>
      </c>
      <c r="K534" s="8" t="str">
        <f t="shared" si="3"/>
        <v>2025 - 5</v>
      </c>
    </row>
    <row r="535" outlineLevel="1">
      <c r="A535" s="2">
        <v>531.0</v>
      </c>
      <c r="B535" s="3">
        <v>45778.0</v>
      </c>
      <c r="C535" s="5" t="s">
        <v>18</v>
      </c>
      <c r="D535" s="5" t="s">
        <v>10</v>
      </c>
      <c r="E535" s="6">
        <v>-697.65</v>
      </c>
      <c r="F535" s="7">
        <f t="shared" si="4"/>
        <v>18450.61</v>
      </c>
      <c r="G535" s="5" t="s">
        <v>234</v>
      </c>
      <c r="H535" s="5"/>
      <c r="I535" s="8">
        <f t="shared" si="7"/>
        <v>5</v>
      </c>
      <c r="J535" s="8">
        <f t="shared" si="8"/>
        <v>2025</v>
      </c>
      <c r="K535" s="8" t="str">
        <f t="shared" si="3"/>
        <v>2025 - 5</v>
      </c>
    </row>
    <row r="536" outlineLevel="1">
      <c r="A536" s="2">
        <v>532.0</v>
      </c>
      <c r="B536" s="3">
        <v>45779.0</v>
      </c>
      <c r="C536" s="5" t="s">
        <v>101</v>
      </c>
      <c r="D536" s="5" t="s">
        <v>10</v>
      </c>
      <c r="E536" s="6">
        <v>79533.0</v>
      </c>
      <c r="F536" s="7">
        <f t="shared" si="4"/>
        <v>97983.61</v>
      </c>
      <c r="H536" s="5"/>
      <c r="I536" s="8">
        <f t="shared" si="7"/>
        <v>5</v>
      </c>
      <c r="J536" s="8">
        <f t="shared" si="8"/>
        <v>2025</v>
      </c>
      <c r="K536" s="8" t="str">
        <f t="shared" si="3"/>
        <v>2025 - 5</v>
      </c>
    </row>
    <row r="537" outlineLevel="1">
      <c r="A537" s="2">
        <v>533.0</v>
      </c>
      <c r="B537" s="3">
        <v>45780.0</v>
      </c>
      <c r="C537" s="5" t="s">
        <v>227</v>
      </c>
      <c r="D537" s="5" t="s">
        <v>10</v>
      </c>
      <c r="E537" s="6">
        <v>-20000.0</v>
      </c>
      <c r="F537" s="7">
        <f t="shared" si="4"/>
        <v>77983.61</v>
      </c>
      <c r="G537" s="5" t="s">
        <v>227</v>
      </c>
      <c r="H537" s="5"/>
      <c r="I537" s="8">
        <f t="shared" si="7"/>
        <v>5</v>
      </c>
      <c r="J537" s="8">
        <f t="shared" si="8"/>
        <v>2025</v>
      </c>
      <c r="K537" s="8" t="str">
        <f t="shared" si="3"/>
        <v>2025 - 5</v>
      </c>
    </row>
    <row r="538" outlineLevel="1">
      <c r="A538" s="2">
        <v>534.0</v>
      </c>
      <c r="B538" s="3">
        <v>45780.0</v>
      </c>
      <c r="C538" s="5" t="s">
        <v>49</v>
      </c>
      <c r="D538" s="5" t="s">
        <v>10</v>
      </c>
      <c r="E538" s="6">
        <v>-199.0</v>
      </c>
      <c r="F538" s="7">
        <f t="shared" si="4"/>
        <v>77784.61</v>
      </c>
      <c r="G538" s="5" t="s">
        <v>251</v>
      </c>
      <c r="H538" s="5"/>
      <c r="I538" s="8">
        <f t="shared" si="7"/>
        <v>5</v>
      </c>
      <c r="J538" s="8">
        <f t="shared" si="8"/>
        <v>2025</v>
      </c>
      <c r="K538" s="8" t="str">
        <f t="shared" si="3"/>
        <v>2025 - 5</v>
      </c>
    </row>
    <row r="539" outlineLevel="1">
      <c r="A539" s="2">
        <v>535.0</v>
      </c>
      <c r="B539" s="3">
        <v>45780.0</v>
      </c>
      <c r="C539" s="5" t="s">
        <v>16</v>
      </c>
      <c r="D539" s="5" t="s">
        <v>10</v>
      </c>
      <c r="E539" s="6">
        <v>-260.0</v>
      </c>
      <c r="F539" s="7">
        <f t="shared" si="4"/>
        <v>77524.61</v>
      </c>
      <c r="G539" s="5" t="s">
        <v>252</v>
      </c>
      <c r="H539" s="5"/>
      <c r="I539" s="8">
        <f t="shared" si="7"/>
        <v>5</v>
      </c>
      <c r="J539" s="8">
        <f t="shared" si="8"/>
        <v>2025</v>
      </c>
      <c r="K539" s="8" t="str">
        <f t="shared" si="3"/>
        <v>2025 - 5</v>
      </c>
    </row>
    <row r="540" outlineLevel="1">
      <c r="A540" s="2">
        <v>536.0</v>
      </c>
      <c r="B540" s="3">
        <v>45780.0</v>
      </c>
      <c r="C540" s="5" t="s">
        <v>16</v>
      </c>
      <c r="D540" s="5" t="s">
        <v>10</v>
      </c>
      <c r="E540" s="6">
        <v>-50.0</v>
      </c>
      <c r="F540" s="7">
        <f t="shared" si="4"/>
        <v>77474.61</v>
      </c>
      <c r="G540" s="5" t="s">
        <v>252</v>
      </c>
      <c r="H540" s="5"/>
      <c r="I540" s="8">
        <f t="shared" si="7"/>
        <v>5</v>
      </c>
      <c r="J540" s="8">
        <f t="shared" si="8"/>
        <v>2025</v>
      </c>
      <c r="K540" s="8" t="str">
        <f t="shared" si="3"/>
        <v>2025 - 5</v>
      </c>
    </row>
    <row r="541" outlineLevel="1">
      <c r="A541" s="2">
        <v>537.0</v>
      </c>
      <c r="B541" s="3">
        <v>45780.0</v>
      </c>
      <c r="C541" s="5" t="s">
        <v>35</v>
      </c>
      <c r="D541" s="5" t="s">
        <v>20</v>
      </c>
      <c r="E541" s="6">
        <v>-30000.0</v>
      </c>
      <c r="F541" s="7">
        <f t="shared" si="4"/>
        <v>47474.61</v>
      </c>
      <c r="G541" s="5" t="s">
        <v>36</v>
      </c>
      <c r="H541" s="5"/>
      <c r="I541" s="8">
        <f t="shared" si="7"/>
        <v>5</v>
      </c>
      <c r="J541" s="8">
        <f t="shared" si="8"/>
        <v>2025</v>
      </c>
      <c r="K541" s="8" t="str">
        <f t="shared" si="3"/>
        <v>2025 - 5</v>
      </c>
    </row>
    <row r="542" outlineLevel="1">
      <c r="A542" s="2">
        <v>538.0</v>
      </c>
      <c r="B542" s="3">
        <v>45780.0</v>
      </c>
      <c r="C542" s="5" t="s">
        <v>18</v>
      </c>
      <c r="D542" s="5" t="s">
        <v>10</v>
      </c>
      <c r="E542" s="6">
        <v>-295.0</v>
      </c>
      <c r="F542" s="7">
        <f t="shared" si="4"/>
        <v>47179.61</v>
      </c>
      <c r="G542" s="5" t="s">
        <v>246</v>
      </c>
      <c r="H542" s="5"/>
      <c r="I542" s="8">
        <f t="shared" si="7"/>
        <v>5</v>
      </c>
      <c r="J542" s="8">
        <f t="shared" si="8"/>
        <v>2025</v>
      </c>
      <c r="K542" s="8" t="str">
        <f t="shared" si="3"/>
        <v>2025 - 5</v>
      </c>
    </row>
    <row r="543" outlineLevel="1">
      <c r="A543" s="2">
        <v>539.0</v>
      </c>
      <c r="B543" s="3">
        <v>45780.0</v>
      </c>
      <c r="C543" s="5" t="s">
        <v>16</v>
      </c>
      <c r="D543" s="5" t="s">
        <v>10</v>
      </c>
      <c r="E543" s="6">
        <v>-1184.0</v>
      </c>
      <c r="F543" s="7">
        <f t="shared" si="4"/>
        <v>45995.61</v>
      </c>
      <c r="G543" s="5" t="s">
        <v>163</v>
      </c>
      <c r="H543" s="5"/>
      <c r="I543" s="8">
        <f t="shared" si="7"/>
        <v>5</v>
      </c>
      <c r="J543" s="8">
        <f t="shared" si="8"/>
        <v>2025</v>
      </c>
      <c r="K543" s="8" t="str">
        <f t="shared" si="3"/>
        <v>2025 - 5</v>
      </c>
    </row>
    <row r="544" outlineLevel="1">
      <c r="A544" s="2">
        <v>540.0</v>
      </c>
      <c r="B544" s="3">
        <v>45781.0</v>
      </c>
      <c r="C544" s="5" t="s">
        <v>18</v>
      </c>
      <c r="D544" s="5" t="s">
        <v>10</v>
      </c>
      <c r="E544" s="6">
        <v>-10.0</v>
      </c>
      <c r="F544" s="7">
        <f t="shared" si="4"/>
        <v>45985.61</v>
      </c>
      <c r="G544" s="5" t="s">
        <v>253</v>
      </c>
      <c r="H544" s="5"/>
      <c r="I544" s="8">
        <f t="shared" si="7"/>
        <v>5</v>
      </c>
      <c r="J544" s="8">
        <f t="shared" si="8"/>
        <v>2025</v>
      </c>
      <c r="K544" s="8" t="str">
        <f t="shared" si="3"/>
        <v>2025 - 5</v>
      </c>
    </row>
    <row r="545" outlineLevel="1">
      <c r="A545" s="2">
        <v>541.0</v>
      </c>
      <c r="B545" s="3">
        <v>45781.0</v>
      </c>
      <c r="C545" s="5" t="s">
        <v>31</v>
      </c>
      <c r="D545" s="5" t="s">
        <v>10</v>
      </c>
      <c r="E545" s="6">
        <v>-9462.0</v>
      </c>
      <c r="F545" s="7">
        <f t="shared" si="4"/>
        <v>36523.61</v>
      </c>
      <c r="G545" s="5" t="s">
        <v>122</v>
      </c>
      <c r="H545" s="5"/>
      <c r="I545" s="8">
        <f t="shared" si="7"/>
        <v>5</v>
      </c>
      <c r="J545" s="8">
        <f t="shared" si="8"/>
        <v>2025</v>
      </c>
      <c r="K545" s="8" t="str">
        <f t="shared" si="3"/>
        <v>2025 - 5</v>
      </c>
    </row>
    <row r="546" outlineLevel="1">
      <c r="A546" s="2">
        <v>542.0</v>
      </c>
      <c r="B546" s="3">
        <v>45782.0</v>
      </c>
      <c r="C546" s="5" t="s">
        <v>9</v>
      </c>
      <c r="D546" s="5" t="s">
        <v>10</v>
      </c>
      <c r="E546" s="6">
        <v>-1.86</v>
      </c>
      <c r="F546" s="7">
        <f t="shared" si="4"/>
        <v>36521.75</v>
      </c>
      <c r="H546" s="5"/>
      <c r="I546" s="8">
        <f t="shared" si="7"/>
        <v>5</v>
      </c>
      <c r="J546" s="8">
        <f t="shared" si="8"/>
        <v>2025</v>
      </c>
      <c r="K546" s="8" t="str">
        <f t="shared" si="3"/>
        <v>2025 - 5</v>
      </c>
    </row>
    <row r="547" outlineLevel="1">
      <c r="A547" s="2">
        <v>543.0</v>
      </c>
      <c r="B547" s="3">
        <v>45782.0</v>
      </c>
      <c r="C547" s="5" t="s">
        <v>16</v>
      </c>
      <c r="D547" s="5" t="s">
        <v>10</v>
      </c>
      <c r="E547" s="6">
        <v>-220.0</v>
      </c>
      <c r="F547" s="7">
        <f t="shared" si="4"/>
        <v>36301.75</v>
      </c>
      <c r="H547" s="5"/>
      <c r="I547" s="8">
        <f t="shared" si="7"/>
        <v>5</v>
      </c>
      <c r="J547" s="8">
        <f t="shared" si="8"/>
        <v>2025</v>
      </c>
      <c r="K547" s="8" t="str">
        <f t="shared" si="3"/>
        <v>2025 - 5</v>
      </c>
    </row>
    <row r="548" outlineLevel="1">
      <c r="A548" s="2">
        <v>544.0</v>
      </c>
      <c r="B548" s="3">
        <v>45782.0</v>
      </c>
      <c r="C548" s="5" t="s">
        <v>9</v>
      </c>
      <c r="D548" s="5" t="s">
        <v>10</v>
      </c>
      <c r="E548" s="6">
        <v>-235.0</v>
      </c>
      <c r="F548" s="7">
        <f t="shared" si="4"/>
        <v>36066.75</v>
      </c>
      <c r="H548" s="5"/>
      <c r="I548" s="8">
        <f t="shared" si="7"/>
        <v>5</v>
      </c>
      <c r="J548" s="8">
        <f t="shared" si="8"/>
        <v>2025</v>
      </c>
      <c r="K548" s="8" t="str">
        <f t="shared" si="3"/>
        <v>2025 - 5</v>
      </c>
    </row>
    <row r="549" outlineLevel="1">
      <c r="A549" s="2">
        <v>545.0</v>
      </c>
      <c r="B549" s="3">
        <v>45782.0</v>
      </c>
      <c r="C549" s="5" t="s">
        <v>18</v>
      </c>
      <c r="D549" s="5" t="s">
        <v>10</v>
      </c>
      <c r="E549" s="6">
        <v>-353.95</v>
      </c>
      <c r="F549" s="7">
        <f t="shared" si="4"/>
        <v>35712.8</v>
      </c>
      <c r="G549" s="5" t="s">
        <v>234</v>
      </c>
      <c r="H549" s="5"/>
      <c r="I549" s="8">
        <f t="shared" si="7"/>
        <v>5</v>
      </c>
      <c r="J549" s="8">
        <f t="shared" si="8"/>
        <v>2025</v>
      </c>
      <c r="K549" s="8" t="str">
        <f t="shared" si="3"/>
        <v>2025 - 5</v>
      </c>
    </row>
    <row r="550" outlineLevel="1">
      <c r="A550" s="2">
        <v>546.0</v>
      </c>
      <c r="B550" s="3">
        <v>45783.0</v>
      </c>
      <c r="C550" s="5" t="s">
        <v>9</v>
      </c>
      <c r="D550" s="5" t="s">
        <v>10</v>
      </c>
      <c r="E550" s="6">
        <v>-210.0</v>
      </c>
      <c r="F550" s="7">
        <f t="shared" si="4"/>
        <v>35502.8</v>
      </c>
      <c r="H550" s="5"/>
      <c r="I550" s="8">
        <f t="shared" si="7"/>
        <v>5</v>
      </c>
      <c r="J550" s="8">
        <f t="shared" si="8"/>
        <v>2025</v>
      </c>
      <c r="K550" s="8" t="str">
        <f t="shared" si="3"/>
        <v>2025 - 5</v>
      </c>
    </row>
    <row r="551" outlineLevel="1">
      <c r="A551" s="2">
        <v>547.0</v>
      </c>
      <c r="B551" s="3">
        <v>45784.0</v>
      </c>
      <c r="C551" s="5" t="s">
        <v>35</v>
      </c>
      <c r="D551" s="5" t="s">
        <v>10</v>
      </c>
      <c r="E551" s="6">
        <v>30000.0</v>
      </c>
      <c r="F551" s="7">
        <f t="shared" si="4"/>
        <v>65502.8</v>
      </c>
      <c r="G551" s="5" t="s">
        <v>36</v>
      </c>
      <c r="H551" s="5"/>
      <c r="I551" s="8">
        <f t="shared" si="7"/>
        <v>5</v>
      </c>
      <c r="J551" s="8">
        <f t="shared" si="8"/>
        <v>2025</v>
      </c>
      <c r="K551" s="8" t="str">
        <f t="shared" si="3"/>
        <v>2025 - 5</v>
      </c>
    </row>
    <row r="552" outlineLevel="1">
      <c r="A552" s="2">
        <v>548.0</v>
      </c>
      <c r="B552" s="3">
        <v>45784.0</v>
      </c>
      <c r="C552" s="5" t="s">
        <v>16</v>
      </c>
      <c r="D552" s="5" t="s">
        <v>10</v>
      </c>
      <c r="E552" s="6">
        <v>-83.0</v>
      </c>
      <c r="F552" s="7">
        <f t="shared" si="4"/>
        <v>65419.8</v>
      </c>
      <c r="H552" s="5"/>
      <c r="I552" s="8">
        <f t="shared" si="7"/>
        <v>5</v>
      </c>
      <c r="J552" s="8">
        <f t="shared" si="8"/>
        <v>2025</v>
      </c>
      <c r="K552" s="8" t="str">
        <f t="shared" si="3"/>
        <v>2025 - 5</v>
      </c>
    </row>
    <row r="553" outlineLevel="1">
      <c r="A553" s="2">
        <v>549.0</v>
      </c>
      <c r="B553" s="3">
        <v>45784.0</v>
      </c>
      <c r="C553" s="5" t="s">
        <v>18</v>
      </c>
      <c r="D553" s="5" t="s">
        <v>10</v>
      </c>
      <c r="E553" s="6">
        <v>-330.0</v>
      </c>
      <c r="F553" s="7">
        <f t="shared" si="4"/>
        <v>65089.8</v>
      </c>
      <c r="H553" s="5"/>
      <c r="I553" s="8">
        <f t="shared" si="7"/>
        <v>5</v>
      </c>
      <c r="J553" s="8">
        <f t="shared" si="8"/>
        <v>2025</v>
      </c>
      <c r="K553" s="8" t="str">
        <f t="shared" si="3"/>
        <v>2025 - 5</v>
      </c>
    </row>
    <row r="554" outlineLevel="1">
      <c r="A554" s="2">
        <v>550.0</v>
      </c>
      <c r="B554" s="3">
        <v>45784.0</v>
      </c>
      <c r="C554" s="5" t="s">
        <v>16</v>
      </c>
      <c r="D554" s="5" t="s">
        <v>10</v>
      </c>
      <c r="E554" s="6">
        <v>-36456.0</v>
      </c>
      <c r="F554" s="7">
        <f t="shared" si="4"/>
        <v>28633.8</v>
      </c>
      <c r="G554" s="5" t="s">
        <v>254</v>
      </c>
      <c r="H554" s="5"/>
      <c r="I554" s="8">
        <f t="shared" si="7"/>
        <v>5</v>
      </c>
      <c r="J554" s="8">
        <f t="shared" si="8"/>
        <v>2025</v>
      </c>
      <c r="K554" s="8" t="str">
        <f t="shared" si="3"/>
        <v>2025 - 5</v>
      </c>
    </row>
    <row r="555" outlineLevel="1">
      <c r="A555" s="2">
        <v>551.0</v>
      </c>
      <c r="B555" s="3">
        <v>45786.0</v>
      </c>
      <c r="C555" s="5" t="s">
        <v>18</v>
      </c>
      <c r="D555" s="5" t="s">
        <v>10</v>
      </c>
      <c r="E555" s="6">
        <v>-380.7</v>
      </c>
      <c r="F555" s="7">
        <f t="shared" si="4"/>
        <v>28253.1</v>
      </c>
      <c r="G555" s="5" t="s">
        <v>234</v>
      </c>
      <c r="H555" s="5"/>
      <c r="I555" s="8">
        <f t="shared" si="7"/>
        <v>5</v>
      </c>
      <c r="J555" s="8">
        <f t="shared" si="8"/>
        <v>2025</v>
      </c>
      <c r="K555" s="8" t="str">
        <f t="shared" si="3"/>
        <v>2025 - 5</v>
      </c>
    </row>
    <row r="556" outlineLevel="1">
      <c r="A556" s="2">
        <v>552.0</v>
      </c>
      <c r="B556" s="3">
        <v>45786.0</v>
      </c>
      <c r="C556" s="5" t="s">
        <v>18</v>
      </c>
      <c r="D556" s="5" t="s">
        <v>10</v>
      </c>
      <c r="E556" s="6">
        <v>-388.65</v>
      </c>
      <c r="F556" s="7">
        <f t="shared" si="4"/>
        <v>27864.45</v>
      </c>
      <c r="G556" s="5" t="s">
        <v>234</v>
      </c>
      <c r="H556" s="5"/>
      <c r="I556" s="8">
        <f t="shared" si="7"/>
        <v>5</v>
      </c>
      <c r="J556" s="8">
        <f t="shared" si="8"/>
        <v>2025</v>
      </c>
      <c r="K556" s="8" t="str">
        <f t="shared" si="3"/>
        <v>2025 - 5</v>
      </c>
    </row>
    <row r="557" outlineLevel="1">
      <c r="A557" s="2">
        <v>553.0</v>
      </c>
      <c r="B557" s="3">
        <v>45787.0</v>
      </c>
      <c r="C557" s="5" t="s">
        <v>9</v>
      </c>
      <c r="D557" s="5" t="s">
        <v>10</v>
      </c>
      <c r="E557" s="6">
        <v>-2234.57</v>
      </c>
      <c r="F557" s="7">
        <f t="shared" si="4"/>
        <v>25629.88</v>
      </c>
      <c r="G557" s="5" t="s">
        <v>255</v>
      </c>
      <c r="H557" s="5"/>
      <c r="I557" s="8">
        <f t="shared" si="7"/>
        <v>5</v>
      </c>
      <c r="J557" s="8">
        <f t="shared" si="8"/>
        <v>2025</v>
      </c>
      <c r="K557" s="8" t="str">
        <f t="shared" si="3"/>
        <v>2025 - 5</v>
      </c>
    </row>
    <row r="558" outlineLevel="1">
      <c r="A558" s="2">
        <v>554.0</v>
      </c>
      <c r="B558" s="3">
        <v>45787.0</v>
      </c>
      <c r="C558" s="5" t="s">
        <v>18</v>
      </c>
      <c r="D558" s="5" t="s">
        <v>10</v>
      </c>
      <c r="E558" s="6">
        <v>-608.85</v>
      </c>
      <c r="F558" s="7">
        <f t="shared" si="4"/>
        <v>25021.03</v>
      </c>
      <c r="G558" s="5" t="s">
        <v>234</v>
      </c>
      <c r="H558" s="5"/>
      <c r="I558" s="8">
        <f t="shared" si="7"/>
        <v>5</v>
      </c>
      <c r="J558" s="8">
        <f t="shared" si="8"/>
        <v>2025</v>
      </c>
      <c r="K558" s="8" t="str">
        <f t="shared" si="3"/>
        <v>2025 - 5</v>
      </c>
    </row>
    <row r="559" outlineLevel="1">
      <c r="A559" s="2">
        <v>555.0</v>
      </c>
      <c r="B559" s="3">
        <v>45788.0</v>
      </c>
      <c r="C559" s="5" t="s">
        <v>18</v>
      </c>
      <c r="D559" s="5" t="s">
        <v>39</v>
      </c>
      <c r="E559" s="6">
        <v>-755.0</v>
      </c>
      <c r="F559" s="7">
        <f t="shared" si="4"/>
        <v>24266.03</v>
      </c>
      <c r="G559" s="5" t="s">
        <v>235</v>
      </c>
      <c r="H559" s="5"/>
      <c r="I559" s="8">
        <f t="shared" si="7"/>
        <v>5</v>
      </c>
      <c r="J559" s="8">
        <f t="shared" si="8"/>
        <v>2025</v>
      </c>
      <c r="K559" s="8" t="str">
        <f t="shared" si="3"/>
        <v>2025 - 5</v>
      </c>
    </row>
    <row r="560" outlineLevel="1">
      <c r="A560" s="2">
        <v>556.0</v>
      </c>
      <c r="B560" s="3">
        <v>45788.0</v>
      </c>
      <c r="C560" s="5" t="s">
        <v>24</v>
      </c>
      <c r="D560" s="5" t="s">
        <v>10</v>
      </c>
      <c r="E560" s="6">
        <v>380.0</v>
      </c>
      <c r="F560" s="7">
        <f t="shared" si="4"/>
        <v>24646.03</v>
      </c>
      <c r="G560" s="5" t="s">
        <v>119</v>
      </c>
      <c r="H560" s="5"/>
      <c r="I560" s="8">
        <f t="shared" si="7"/>
        <v>5</v>
      </c>
      <c r="J560" s="8">
        <f t="shared" si="8"/>
        <v>2025</v>
      </c>
      <c r="K560" s="8" t="str">
        <f t="shared" si="3"/>
        <v>2025 - 5</v>
      </c>
    </row>
    <row r="561" outlineLevel="1">
      <c r="A561" s="2">
        <v>557.0</v>
      </c>
      <c r="B561" s="3">
        <v>45788.0</v>
      </c>
      <c r="C561" s="5" t="s">
        <v>18</v>
      </c>
      <c r="D561" s="5" t="s">
        <v>10</v>
      </c>
      <c r="E561" s="6">
        <v>-93.0</v>
      </c>
      <c r="F561" s="7">
        <f t="shared" si="4"/>
        <v>24553.03</v>
      </c>
      <c r="G561" s="5" t="s">
        <v>235</v>
      </c>
      <c r="H561" s="5"/>
      <c r="I561" s="8">
        <f t="shared" si="7"/>
        <v>5</v>
      </c>
      <c r="J561" s="8">
        <f t="shared" si="8"/>
        <v>2025</v>
      </c>
      <c r="K561" s="8" t="str">
        <f t="shared" si="3"/>
        <v>2025 - 5</v>
      </c>
    </row>
    <row r="562" outlineLevel="1">
      <c r="A562" s="2">
        <v>558.0</v>
      </c>
      <c r="B562" s="3">
        <v>45789.0</v>
      </c>
      <c r="C562" s="5" t="s">
        <v>9</v>
      </c>
      <c r="D562" s="5" t="s">
        <v>10</v>
      </c>
      <c r="E562" s="6">
        <v>-190.0</v>
      </c>
      <c r="F562" s="7">
        <f t="shared" si="4"/>
        <v>24363.03</v>
      </c>
      <c r="H562" s="5"/>
      <c r="I562" s="8">
        <f t="shared" si="7"/>
        <v>5</v>
      </c>
      <c r="J562" s="8">
        <f t="shared" si="8"/>
        <v>2025</v>
      </c>
      <c r="K562" s="8" t="str">
        <f t="shared" si="3"/>
        <v>2025 - 5</v>
      </c>
    </row>
    <row r="563" outlineLevel="1">
      <c r="A563" s="2">
        <v>559.0</v>
      </c>
      <c r="B563" s="3">
        <v>45790.0</v>
      </c>
      <c r="C563" s="5" t="s">
        <v>18</v>
      </c>
      <c r="D563" s="5" t="s">
        <v>39</v>
      </c>
      <c r="E563" s="6">
        <v>-1852.0</v>
      </c>
      <c r="F563" s="7">
        <f t="shared" si="4"/>
        <v>22511.03</v>
      </c>
      <c r="G563" s="5" t="s">
        <v>256</v>
      </c>
      <c r="H563" s="5"/>
      <c r="I563" s="8">
        <f t="shared" si="7"/>
        <v>5</v>
      </c>
      <c r="J563" s="8">
        <f t="shared" si="8"/>
        <v>2025</v>
      </c>
      <c r="K563" s="8" t="str">
        <f t="shared" si="3"/>
        <v>2025 - 5</v>
      </c>
    </row>
    <row r="564" outlineLevel="1">
      <c r="A564" s="2">
        <v>560.0</v>
      </c>
      <c r="B564" s="3">
        <v>45790.0</v>
      </c>
      <c r="C564" s="5" t="s">
        <v>18</v>
      </c>
      <c r="D564" s="5" t="s">
        <v>39</v>
      </c>
      <c r="E564" s="6">
        <v>-1852.0</v>
      </c>
      <c r="F564" s="7">
        <f t="shared" si="4"/>
        <v>20659.03</v>
      </c>
      <c r="G564" s="5" t="s">
        <v>256</v>
      </c>
      <c r="H564" s="5"/>
      <c r="I564" s="8">
        <f t="shared" si="7"/>
        <v>5</v>
      </c>
      <c r="J564" s="8">
        <f t="shared" si="8"/>
        <v>2025</v>
      </c>
      <c r="K564" s="8" t="str">
        <f t="shared" si="3"/>
        <v>2025 - 5</v>
      </c>
    </row>
    <row r="565" outlineLevel="1">
      <c r="A565" s="2">
        <v>561.0</v>
      </c>
      <c r="B565" s="3">
        <v>45791.0</v>
      </c>
      <c r="C565" s="5" t="s">
        <v>31</v>
      </c>
      <c r="D565" s="5" t="s">
        <v>10</v>
      </c>
      <c r="E565" s="6">
        <v>-1124.89</v>
      </c>
      <c r="F565" s="7">
        <f t="shared" si="4"/>
        <v>19534.14</v>
      </c>
      <c r="G565" s="5" t="s">
        <v>257</v>
      </c>
      <c r="H565" s="5"/>
      <c r="I565" s="8">
        <f t="shared" si="7"/>
        <v>5</v>
      </c>
      <c r="J565" s="8">
        <f t="shared" si="8"/>
        <v>2025</v>
      </c>
      <c r="K565" s="8" t="str">
        <f t="shared" si="3"/>
        <v>2025 - 5</v>
      </c>
    </row>
    <row r="566" outlineLevel="1">
      <c r="A566" s="2">
        <v>562.0</v>
      </c>
      <c r="B566" s="3">
        <v>45791.0</v>
      </c>
      <c r="C566" s="5" t="s">
        <v>31</v>
      </c>
      <c r="D566" s="5" t="s">
        <v>147</v>
      </c>
      <c r="E566" s="6">
        <v>-894.4</v>
      </c>
      <c r="F566" s="7">
        <f t="shared" si="4"/>
        <v>18639.74</v>
      </c>
      <c r="G566" s="5" t="s">
        <v>114</v>
      </c>
      <c r="H566" s="5"/>
      <c r="I566" s="8">
        <f t="shared" si="7"/>
        <v>5</v>
      </c>
      <c r="J566" s="8">
        <f t="shared" si="8"/>
        <v>2025</v>
      </c>
      <c r="K566" s="8" t="str">
        <f t="shared" si="3"/>
        <v>2025 - 5</v>
      </c>
    </row>
    <row r="567" outlineLevel="1">
      <c r="A567" s="2">
        <v>563.0</v>
      </c>
      <c r="B567" s="3">
        <v>45791.0</v>
      </c>
      <c r="C567" s="5" t="s">
        <v>31</v>
      </c>
      <c r="D567" s="5" t="s">
        <v>147</v>
      </c>
      <c r="E567" s="6">
        <v>-78.0</v>
      </c>
      <c r="F567" s="7">
        <f t="shared" si="4"/>
        <v>18561.74</v>
      </c>
      <c r="G567" s="5" t="s">
        <v>32</v>
      </c>
      <c r="H567" s="5"/>
      <c r="I567" s="8">
        <f t="shared" si="7"/>
        <v>5</v>
      </c>
      <c r="J567" s="8">
        <f t="shared" si="8"/>
        <v>2025</v>
      </c>
      <c r="K567" s="8" t="str">
        <f t="shared" si="3"/>
        <v>2025 - 5</v>
      </c>
    </row>
    <row r="568" outlineLevel="1">
      <c r="A568" s="2">
        <v>564.0</v>
      </c>
      <c r="B568" s="3">
        <v>45791.0</v>
      </c>
      <c r="C568" s="5" t="s">
        <v>31</v>
      </c>
      <c r="D568" s="5" t="s">
        <v>147</v>
      </c>
      <c r="E568" s="6">
        <v>-60.0</v>
      </c>
      <c r="F568" s="7">
        <f t="shared" si="4"/>
        <v>18501.74</v>
      </c>
      <c r="G568" s="5" t="s">
        <v>32</v>
      </c>
      <c r="H568" s="5"/>
      <c r="I568" s="8">
        <f t="shared" si="7"/>
        <v>5</v>
      </c>
      <c r="J568" s="8">
        <f t="shared" si="8"/>
        <v>2025</v>
      </c>
      <c r="K568" s="8" t="str">
        <f t="shared" si="3"/>
        <v>2025 - 5</v>
      </c>
    </row>
    <row r="569" outlineLevel="1">
      <c r="A569" s="2">
        <v>565.0</v>
      </c>
      <c r="B569" s="3">
        <v>45791.0</v>
      </c>
      <c r="C569" s="5" t="s">
        <v>18</v>
      </c>
      <c r="D569" s="5" t="s">
        <v>147</v>
      </c>
      <c r="E569" s="6">
        <v>-977.0</v>
      </c>
      <c r="F569" s="7">
        <f t="shared" si="4"/>
        <v>17524.74</v>
      </c>
      <c r="G569" s="5" t="s">
        <v>258</v>
      </c>
      <c r="H569" s="5"/>
      <c r="I569" s="8">
        <f t="shared" si="7"/>
        <v>5</v>
      </c>
      <c r="J569" s="8">
        <f t="shared" si="8"/>
        <v>2025</v>
      </c>
      <c r="K569" s="8" t="str">
        <f t="shared" si="3"/>
        <v>2025 - 5</v>
      </c>
    </row>
    <row r="570" outlineLevel="1">
      <c r="A570" s="2">
        <v>566.0</v>
      </c>
      <c r="B570" s="3">
        <v>45791.0</v>
      </c>
      <c r="C570" s="5" t="s">
        <v>18</v>
      </c>
      <c r="D570" s="5" t="s">
        <v>147</v>
      </c>
      <c r="E570" s="6">
        <v>-654.88</v>
      </c>
      <c r="F570" s="7">
        <f t="shared" si="4"/>
        <v>16869.86</v>
      </c>
      <c r="G570" s="5" t="s">
        <v>235</v>
      </c>
      <c r="H570" s="5"/>
      <c r="I570" s="8">
        <f t="shared" si="7"/>
        <v>5</v>
      </c>
      <c r="J570" s="8">
        <f t="shared" si="8"/>
        <v>2025</v>
      </c>
      <c r="K570" s="8" t="str">
        <f t="shared" si="3"/>
        <v>2025 - 5</v>
      </c>
    </row>
    <row r="571" outlineLevel="1">
      <c r="A571" s="2">
        <v>567.0</v>
      </c>
      <c r="B571" s="3">
        <v>45792.0</v>
      </c>
      <c r="C571" s="5" t="s">
        <v>49</v>
      </c>
      <c r="D571" s="5" t="s">
        <v>147</v>
      </c>
      <c r="E571" s="6">
        <v>-649.0</v>
      </c>
      <c r="F571" s="7">
        <f t="shared" si="4"/>
        <v>16220.86</v>
      </c>
      <c r="G571" s="5" t="s">
        <v>50</v>
      </c>
      <c r="H571" s="5"/>
      <c r="I571" s="8">
        <f t="shared" si="7"/>
        <v>5</v>
      </c>
      <c r="J571" s="8">
        <f t="shared" si="8"/>
        <v>2025</v>
      </c>
      <c r="K571" s="8" t="str">
        <f t="shared" si="3"/>
        <v>2025 - 5</v>
      </c>
    </row>
    <row r="572" outlineLevel="1">
      <c r="A572" s="2">
        <v>568.0</v>
      </c>
      <c r="B572" s="3">
        <v>45792.0</v>
      </c>
      <c r="C572" s="5" t="s">
        <v>9</v>
      </c>
      <c r="D572" s="5" t="s">
        <v>10</v>
      </c>
      <c r="E572" s="6">
        <v>-250.0</v>
      </c>
      <c r="F572" s="7">
        <f t="shared" si="4"/>
        <v>15970.86</v>
      </c>
      <c r="G572" s="5" t="s">
        <v>70</v>
      </c>
      <c r="H572" s="5"/>
      <c r="I572" s="8">
        <f t="shared" si="7"/>
        <v>5</v>
      </c>
      <c r="J572" s="8">
        <f t="shared" si="8"/>
        <v>2025</v>
      </c>
      <c r="K572" s="8" t="str">
        <f t="shared" si="3"/>
        <v>2025 - 5</v>
      </c>
    </row>
    <row r="573" outlineLevel="1">
      <c r="A573" s="2">
        <v>569.0</v>
      </c>
      <c r="B573" s="3">
        <v>45792.0</v>
      </c>
      <c r="C573" s="5" t="s">
        <v>9</v>
      </c>
      <c r="D573" s="5" t="s">
        <v>147</v>
      </c>
      <c r="E573" s="6">
        <v>-45.0</v>
      </c>
      <c r="F573" s="7">
        <f t="shared" si="4"/>
        <v>15925.86</v>
      </c>
      <c r="G573" s="5" t="s">
        <v>32</v>
      </c>
      <c r="H573" s="5"/>
      <c r="I573" s="8">
        <f t="shared" si="7"/>
        <v>5</v>
      </c>
      <c r="J573" s="8">
        <f t="shared" si="8"/>
        <v>2025</v>
      </c>
      <c r="K573" s="8" t="str">
        <f t="shared" si="3"/>
        <v>2025 - 5</v>
      </c>
    </row>
    <row r="574" outlineLevel="1">
      <c r="A574" s="2">
        <v>570.0</v>
      </c>
      <c r="B574" s="3">
        <v>45793.0</v>
      </c>
      <c r="C574" s="5" t="s">
        <v>49</v>
      </c>
      <c r="D574" s="5" t="s">
        <v>10</v>
      </c>
      <c r="E574" s="6">
        <v>-1924.46</v>
      </c>
      <c r="F574" s="7">
        <f t="shared" si="4"/>
        <v>14001.4</v>
      </c>
      <c r="G574" s="5" t="s">
        <v>110</v>
      </c>
      <c r="H574" s="5"/>
      <c r="I574" s="8">
        <f t="shared" si="7"/>
        <v>5</v>
      </c>
      <c r="J574" s="8">
        <f t="shared" si="8"/>
        <v>2025</v>
      </c>
      <c r="K574" s="8" t="str">
        <f t="shared" si="3"/>
        <v>2025 - 5</v>
      </c>
    </row>
    <row r="575" outlineLevel="1">
      <c r="A575" s="2">
        <v>571.0</v>
      </c>
      <c r="B575" s="3">
        <v>45793.0</v>
      </c>
      <c r="C575" s="5" t="s">
        <v>31</v>
      </c>
      <c r="D575" s="5" t="s">
        <v>147</v>
      </c>
      <c r="E575" s="6">
        <v>-40.0</v>
      </c>
      <c r="F575" s="7">
        <f t="shared" si="4"/>
        <v>13961.4</v>
      </c>
      <c r="G575" s="5" t="s">
        <v>32</v>
      </c>
      <c r="H575" s="5"/>
      <c r="I575" s="8">
        <f t="shared" si="7"/>
        <v>5</v>
      </c>
      <c r="J575" s="8">
        <f t="shared" si="8"/>
        <v>2025</v>
      </c>
      <c r="K575" s="8" t="str">
        <f t="shared" si="3"/>
        <v>2025 - 5</v>
      </c>
    </row>
    <row r="576" outlineLevel="1">
      <c r="A576" s="2">
        <v>572.0</v>
      </c>
      <c r="B576" s="3">
        <v>45793.0</v>
      </c>
      <c r="C576" s="5" t="s">
        <v>35</v>
      </c>
      <c r="D576" s="5" t="s">
        <v>20</v>
      </c>
      <c r="E576" s="6">
        <v>-3000.0</v>
      </c>
      <c r="F576" s="7">
        <f t="shared" si="4"/>
        <v>10961.4</v>
      </c>
      <c r="G576" s="5" t="s">
        <v>259</v>
      </c>
      <c r="H576" s="5"/>
      <c r="I576" s="8">
        <f t="shared" si="7"/>
        <v>5</v>
      </c>
      <c r="J576" s="8">
        <f t="shared" si="8"/>
        <v>2025</v>
      </c>
      <c r="K576" s="8" t="str">
        <f t="shared" si="3"/>
        <v>2025 - 5</v>
      </c>
    </row>
    <row r="577" outlineLevel="1">
      <c r="A577" s="2">
        <v>573.0</v>
      </c>
      <c r="B577" s="3">
        <v>45793.0</v>
      </c>
      <c r="C577" s="5" t="s">
        <v>31</v>
      </c>
      <c r="D577" s="5" t="s">
        <v>147</v>
      </c>
      <c r="E577" s="6">
        <v>-44.0</v>
      </c>
      <c r="F577" s="7">
        <f t="shared" si="4"/>
        <v>10917.4</v>
      </c>
      <c r="G577" s="5" t="s">
        <v>32</v>
      </c>
      <c r="H577" s="5"/>
      <c r="I577" s="8">
        <f t="shared" si="7"/>
        <v>5</v>
      </c>
      <c r="J577" s="8">
        <f t="shared" si="8"/>
        <v>2025</v>
      </c>
      <c r="K577" s="8" t="str">
        <f t="shared" si="3"/>
        <v>2025 - 5</v>
      </c>
    </row>
    <row r="578" outlineLevel="1">
      <c r="A578" s="2">
        <v>574.0</v>
      </c>
      <c r="B578" s="3">
        <v>45793.0</v>
      </c>
      <c r="C578" s="5" t="s">
        <v>16</v>
      </c>
      <c r="D578" s="5" t="s">
        <v>20</v>
      </c>
      <c r="E578" s="6">
        <v>-1603.0</v>
      </c>
      <c r="F578" s="7">
        <f t="shared" si="4"/>
        <v>9314.4</v>
      </c>
      <c r="G578" s="5" t="s">
        <v>260</v>
      </c>
      <c r="H578" s="5"/>
      <c r="I578" s="8">
        <f t="shared" si="7"/>
        <v>5</v>
      </c>
      <c r="J578" s="8">
        <f t="shared" si="8"/>
        <v>2025</v>
      </c>
      <c r="K578" s="8" t="str">
        <f t="shared" si="3"/>
        <v>2025 - 5</v>
      </c>
    </row>
    <row r="579" outlineLevel="1">
      <c r="A579" s="2">
        <v>575.0</v>
      </c>
      <c r="B579" s="3">
        <v>45793.0</v>
      </c>
      <c r="C579" s="5" t="s">
        <v>16</v>
      </c>
      <c r="D579" s="5" t="s">
        <v>20</v>
      </c>
      <c r="E579" s="6">
        <v>-1099.0</v>
      </c>
      <c r="F579" s="7">
        <f t="shared" si="4"/>
        <v>8215.4</v>
      </c>
      <c r="G579" s="5" t="s">
        <v>261</v>
      </c>
      <c r="H579" s="5"/>
      <c r="I579" s="8">
        <f t="shared" si="7"/>
        <v>5</v>
      </c>
      <c r="J579" s="8">
        <f t="shared" si="8"/>
        <v>2025</v>
      </c>
      <c r="K579" s="8" t="str">
        <f t="shared" si="3"/>
        <v>2025 - 5</v>
      </c>
    </row>
    <row r="580" outlineLevel="1">
      <c r="A580" s="2">
        <v>576.0</v>
      </c>
      <c r="B580" s="3">
        <v>45794.0</v>
      </c>
      <c r="C580" s="5" t="s">
        <v>9</v>
      </c>
      <c r="D580" s="5" t="s">
        <v>10</v>
      </c>
      <c r="E580" s="6">
        <v>-60.0</v>
      </c>
      <c r="F580" s="7">
        <f t="shared" si="4"/>
        <v>8155.4</v>
      </c>
      <c r="H580" s="5"/>
      <c r="I580" s="8">
        <f t="shared" si="7"/>
        <v>5</v>
      </c>
      <c r="J580" s="8">
        <f t="shared" si="8"/>
        <v>2025</v>
      </c>
      <c r="K580" s="8" t="str">
        <f t="shared" si="3"/>
        <v>2025 - 5</v>
      </c>
    </row>
    <row r="581" outlineLevel="1">
      <c r="A581" s="2">
        <v>577.0</v>
      </c>
      <c r="B581" s="3">
        <v>45794.0</v>
      </c>
      <c r="C581" s="5" t="s">
        <v>35</v>
      </c>
      <c r="D581" s="5" t="s">
        <v>10</v>
      </c>
      <c r="E581" s="6">
        <v>10.0</v>
      </c>
      <c r="F581" s="7">
        <f t="shared" si="4"/>
        <v>8165.4</v>
      </c>
      <c r="G581" s="5" t="s">
        <v>259</v>
      </c>
      <c r="H581" s="5"/>
      <c r="I581" s="8">
        <f t="shared" si="7"/>
        <v>5</v>
      </c>
      <c r="J581" s="8">
        <f t="shared" si="8"/>
        <v>2025</v>
      </c>
      <c r="K581" s="8" t="str">
        <f t="shared" si="3"/>
        <v>2025 - 5</v>
      </c>
    </row>
    <row r="582" outlineLevel="1">
      <c r="A582" s="2">
        <v>578.0</v>
      </c>
      <c r="B582" s="3">
        <v>45795.0</v>
      </c>
      <c r="C582" s="5" t="s">
        <v>49</v>
      </c>
      <c r="D582" s="5" t="s">
        <v>10</v>
      </c>
      <c r="E582" s="6">
        <v>-499.0</v>
      </c>
      <c r="F582" s="7">
        <f t="shared" si="4"/>
        <v>7666.4</v>
      </c>
      <c r="G582" s="5" t="s">
        <v>262</v>
      </c>
      <c r="H582" s="5"/>
      <c r="I582" s="8">
        <f t="shared" si="7"/>
        <v>5</v>
      </c>
      <c r="J582" s="8">
        <f t="shared" si="8"/>
        <v>2025</v>
      </c>
      <c r="K582" s="8" t="str">
        <f t="shared" si="3"/>
        <v>2025 - 5</v>
      </c>
    </row>
    <row r="583" outlineLevel="1">
      <c r="A583" s="2">
        <v>579.0</v>
      </c>
      <c r="B583" s="3">
        <v>45796.0</v>
      </c>
      <c r="C583" s="5" t="s">
        <v>31</v>
      </c>
      <c r="D583" s="5" t="s">
        <v>10</v>
      </c>
      <c r="E583" s="6">
        <v>-900.0</v>
      </c>
      <c r="F583" s="7">
        <f t="shared" si="4"/>
        <v>6766.4</v>
      </c>
      <c r="G583" s="5" t="s">
        <v>257</v>
      </c>
      <c r="H583" s="5"/>
      <c r="I583" s="8">
        <f t="shared" si="7"/>
        <v>5</v>
      </c>
      <c r="J583" s="8">
        <f t="shared" si="8"/>
        <v>2025</v>
      </c>
      <c r="K583" s="8" t="str">
        <f t="shared" si="3"/>
        <v>2025 - 5</v>
      </c>
    </row>
    <row r="584" outlineLevel="1">
      <c r="A584" s="2">
        <v>580.0</v>
      </c>
      <c r="B584" s="3">
        <v>45796.0</v>
      </c>
      <c r="C584" s="5" t="s">
        <v>18</v>
      </c>
      <c r="D584" s="5" t="s">
        <v>10</v>
      </c>
      <c r="E584" s="6">
        <v>-357.0</v>
      </c>
      <c r="F584" s="7">
        <f t="shared" si="4"/>
        <v>6409.4</v>
      </c>
      <c r="G584" s="5" t="s">
        <v>246</v>
      </c>
      <c r="H584" s="5"/>
      <c r="I584" s="8">
        <f t="shared" si="7"/>
        <v>5</v>
      </c>
      <c r="J584" s="8">
        <f t="shared" si="8"/>
        <v>2025</v>
      </c>
      <c r="K584" s="8" t="str">
        <f t="shared" si="3"/>
        <v>2025 - 5</v>
      </c>
    </row>
    <row r="585" outlineLevel="1">
      <c r="A585" s="2">
        <v>581.0</v>
      </c>
      <c r="B585" s="3">
        <v>45796.0</v>
      </c>
      <c r="C585" s="5" t="s">
        <v>16</v>
      </c>
      <c r="D585" s="5" t="s">
        <v>10</v>
      </c>
      <c r="E585" s="6">
        <v>-254.0</v>
      </c>
      <c r="F585" s="7">
        <f t="shared" si="4"/>
        <v>6155.4</v>
      </c>
      <c r="G585" s="5" t="s">
        <v>252</v>
      </c>
      <c r="H585" s="5"/>
      <c r="I585" s="8">
        <f t="shared" si="7"/>
        <v>5</v>
      </c>
      <c r="J585" s="8">
        <f t="shared" si="8"/>
        <v>2025</v>
      </c>
      <c r="K585" s="8" t="str">
        <f t="shared" si="3"/>
        <v>2025 - 5</v>
      </c>
    </row>
    <row r="586" outlineLevel="1">
      <c r="A586" s="2">
        <v>582.0</v>
      </c>
      <c r="B586" s="3">
        <v>45798.0</v>
      </c>
      <c r="C586" s="5" t="s">
        <v>16</v>
      </c>
      <c r="D586" s="5" t="s">
        <v>10</v>
      </c>
      <c r="E586" s="6">
        <v>-1792.0</v>
      </c>
      <c r="F586" s="7">
        <f t="shared" si="4"/>
        <v>4363.4</v>
      </c>
      <c r="G586" s="5" t="s">
        <v>163</v>
      </c>
      <c r="H586" s="5"/>
      <c r="I586" s="8">
        <f t="shared" si="7"/>
        <v>5</v>
      </c>
      <c r="J586" s="8">
        <f t="shared" si="8"/>
        <v>2025</v>
      </c>
      <c r="K586" s="8" t="str">
        <f t="shared" si="3"/>
        <v>2025 - 5</v>
      </c>
    </row>
    <row r="587" outlineLevel="1">
      <c r="A587" s="2">
        <v>583.0</v>
      </c>
      <c r="B587" s="3">
        <v>45799.0</v>
      </c>
      <c r="C587" s="5" t="s">
        <v>18</v>
      </c>
      <c r="D587" s="5" t="s">
        <v>10</v>
      </c>
      <c r="E587" s="6">
        <v>-338.1</v>
      </c>
      <c r="F587" s="7">
        <f t="shared" si="4"/>
        <v>4025.3</v>
      </c>
      <c r="G587" s="5" t="s">
        <v>263</v>
      </c>
      <c r="H587" s="5"/>
      <c r="I587" s="8">
        <f t="shared" si="7"/>
        <v>5</v>
      </c>
      <c r="J587" s="8">
        <f t="shared" si="8"/>
        <v>2025</v>
      </c>
      <c r="K587" s="8" t="str">
        <f t="shared" si="3"/>
        <v>2025 - 5</v>
      </c>
    </row>
    <row r="588" outlineLevel="1">
      <c r="A588" s="2">
        <v>584.0</v>
      </c>
      <c r="B588" s="3">
        <v>45800.0</v>
      </c>
      <c r="C588" s="5" t="s">
        <v>38</v>
      </c>
      <c r="D588" s="5" t="s">
        <v>39</v>
      </c>
      <c r="E588" s="6">
        <v>-1209.92</v>
      </c>
      <c r="F588" s="7">
        <f t="shared" si="4"/>
        <v>2815.38</v>
      </c>
      <c r="G588" s="5" t="s">
        <v>114</v>
      </c>
      <c r="H588" s="5"/>
      <c r="I588" s="8">
        <f t="shared" si="7"/>
        <v>5</v>
      </c>
      <c r="J588" s="8">
        <f t="shared" si="8"/>
        <v>2025</v>
      </c>
      <c r="K588" s="8" t="str">
        <f t="shared" si="3"/>
        <v>2025 - 5</v>
      </c>
    </row>
    <row r="589" outlineLevel="1">
      <c r="A589" s="2">
        <v>585.0</v>
      </c>
      <c r="B589" s="3">
        <v>45800.0</v>
      </c>
      <c r="C589" s="5" t="s">
        <v>38</v>
      </c>
      <c r="D589" s="5" t="s">
        <v>13</v>
      </c>
      <c r="E589" s="6">
        <v>-604.96</v>
      </c>
      <c r="F589" s="7">
        <f t="shared" si="4"/>
        <v>2210.42</v>
      </c>
      <c r="G589" s="5" t="s">
        <v>114</v>
      </c>
      <c r="H589" s="5"/>
      <c r="I589" s="8">
        <f t="shared" si="7"/>
        <v>5</v>
      </c>
      <c r="J589" s="8">
        <f t="shared" si="8"/>
        <v>2025</v>
      </c>
      <c r="K589" s="8" t="str">
        <f t="shared" si="3"/>
        <v>2025 - 5</v>
      </c>
    </row>
    <row r="590" outlineLevel="1">
      <c r="A590" s="2">
        <v>586.0</v>
      </c>
      <c r="B590" s="3">
        <v>45800.0</v>
      </c>
      <c r="C590" s="5" t="s">
        <v>24</v>
      </c>
      <c r="D590" s="5" t="s">
        <v>10</v>
      </c>
      <c r="E590" s="6">
        <v>302.0</v>
      </c>
      <c r="F590" s="7">
        <f t="shared" si="4"/>
        <v>2512.42</v>
      </c>
      <c r="G590" s="5" t="s">
        <v>70</v>
      </c>
      <c r="H590" s="5"/>
      <c r="I590" s="8">
        <f t="shared" si="7"/>
        <v>5</v>
      </c>
      <c r="J590" s="8">
        <f t="shared" si="8"/>
        <v>2025</v>
      </c>
      <c r="K590" s="8" t="str">
        <f t="shared" si="3"/>
        <v>2025 - 5</v>
      </c>
    </row>
    <row r="591" outlineLevel="1">
      <c r="A591" s="2">
        <v>587.0</v>
      </c>
      <c r="B591" s="3">
        <v>45800.0</v>
      </c>
      <c r="C591" s="5" t="s">
        <v>24</v>
      </c>
      <c r="D591" s="5" t="s">
        <v>10</v>
      </c>
      <c r="E591" s="6">
        <v>302.0</v>
      </c>
      <c r="F591" s="7">
        <f t="shared" si="4"/>
        <v>2814.42</v>
      </c>
      <c r="G591" s="5" t="s">
        <v>208</v>
      </c>
      <c r="H591" s="5"/>
      <c r="I591" s="8">
        <f t="shared" si="7"/>
        <v>5</v>
      </c>
      <c r="J591" s="8">
        <f t="shared" si="8"/>
        <v>2025</v>
      </c>
      <c r="K591" s="8" t="str">
        <f t="shared" si="3"/>
        <v>2025 - 5</v>
      </c>
    </row>
    <row r="592" outlineLevel="1">
      <c r="A592" s="2">
        <v>588.0</v>
      </c>
      <c r="B592" s="3">
        <v>45800.0</v>
      </c>
      <c r="C592" s="5" t="s">
        <v>24</v>
      </c>
      <c r="D592" s="5" t="s">
        <v>10</v>
      </c>
      <c r="E592" s="6">
        <v>604.0</v>
      </c>
      <c r="F592" s="7">
        <f t="shared" si="4"/>
        <v>3418.42</v>
      </c>
      <c r="G592" s="5" t="s">
        <v>264</v>
      </c>
      <c r="H592" s="5"/>
      <c r="I592" s="8">
        <f t="shared" si="7"/>
        <v>5</v>
      </c>
      <c r="J592" s="8">
        <f t="shared" si="8"/>
        <v>2025</v>
      </c>
      <c r="K592" s="8" t="str">
        <f t="shared" si="3"/>
        <v>2025 - 5</v>
      </c>
    </row>
    <row r="593" outlineLevel="1">
      <c r="A593" s="2">
        <v>589.0</v>
      </c>
      <c r="B593" s="3">
        <v>45800.0</v>
      </c>
      <c r="C593" s="5" t="s">
        <v>18</v>
      </c>
      <c r="D593" s="5" t="s">
        <v>39</v>
      </c>
      <c r="E593" s="6">
        <v>-2770.0</v>
      </c>
      <c r="F593" s="7">
        <f t="shared" si="4"/>
        <v>648.42</v>
      </c>
      <c r="G593" s="5" t="s">
        <v>265</v>
      </c>
      <c r="H593" s="5"/>
      <c r="I593" s="8">
        <f t="shared" si="7"/>
        <v>5</v>
      </c>
      <c r="J593" s="8">
        <f t="shared" si="8"/>
        <v>2025</v>
      </c>
      <c r="K593" s="8" t="str">
        <f t="shared" si="3"/>
        <v>2025 - 5</v>
      </c>
    </row>
    <row r="594" outlineLevel="1">
      <c r="A594" s="2">
        <v>590.0</v>
      </c>
      <c r="B594" s="3">
        <v>45800.0</v>
      </c>
      <c r="C594" s="5" t="s">
        <v>24</v>
      </c>
      <c r="D594" s="5" t="s">
        <v>10</v>
      </c>
      <c r="E594" s="6">
        <v>1385.0</v>
      </c>
      <c r="F594" s="7">
        <f t="shared" si="4"/>
        <v>2033.42</v>
      </c>
      <c r="G594" s="5" t="s">
        <v>266</v>
      </c>
      <c r="H594" s="5"/>
      <c r="I594" s="8">
        <f t="shared" si="7"/>
        <v>5</v>
      </c>
      <c r="J594" s="8">
        <f t="shared" si="8"/>
        <v>2025</v>
      </c>
      <c r="K594" s="8" t="str">
        <f t="shared" si="3"/>
        <v>2025 - 5</v>
      </c>
    </row>
    <row r="595" outlineLevel="1">
      <c r="A595" s="2">
        <v>591.0</v>
      </c>
      <c r="B595" s="3">
        <v>45800.0</v>
      </c>
      <c r="C595" s="5" t="s">
        <v>24</v>
      </c>
      <c r="D595" s="5" t="s">
        <v>10</v>
      </c>
      <c r="E595" s="6">
        <v>302.0</v>
      </c>
      <c r="F595" s="7">
        <f t="shared" si="4"/>
        <v>2335.42</v>
      </c>
      <c r="G595" s="5" t="s">
        <v>267</v>
      </c>
      <c r="H595" s="5"/>
      <c r="I595" s="8">
        <f t="shared" si="7"/>
        <v>5</v>
      </c>
      <c r="J595" s="8">
        <f t="shared" si="8"/>
        <v>2025</v>
      </c>
      <c r="K595" s="8" t="str">
        <f t="shared" si="3"/>
        <v>2025 - 5</v>
      </c>
    </row>
    <row r="596" outlineLevel="1">
      <c r="A596" s="2">
        <v>592.0</v>
      </c>
      <c r="B596" s="3">
        <v>45801.0</v>
      </c>
      <c r="C596" s="5" t="s">
        <v>18</v>
      </c>
      <c r="D596" s="5" t="s">
        <v>39</v>
      </c>
      <c r="E596" s="6">
        <v>-835.0</v>
      </c>
      <c r="F596" s="7">
        <f t="shared" si="4"/>
        <v>1500.42</v>
      </c>
      <c r="G596" s="5" t="s">
        <v>263</v>
      </c>
      <c r="H596" s="5"/>
      <c r="I596" s="8">
        <f t="shared" si="7"/>
        <v>5</v>
      </c>
      <c r="J596" s="8">
        <f t="shared" si="8"/>
        <v>2025</v>
      </c>
      <c r="K596" s="8" t="str">
        <f t="shared" si="3"/>
        <v>2025 - 5</v>
      </c>
    </row>
    <row r="597" outlineLevel="1">
      <c r="A597" s="2">
        <v>593.0</v>
      </c>
      <c r="B597" s="3">
        <v>45801.0</v>
      </c>
      <c r="C597" s="5" t="s">
        <v>9</v>
      </c>
      <c r="D597" s="5" t="s">
        <v>10</v>
      </c>
      <c r="E597" s="6">
        <v>-50.0</v>
      </c>
      <c r="F597" s="7">
        <f t="shared" si="4"/>
        <v>1450.42</v>
      </c>
      <c r="G597" s="5" t="s">
        <v>125</v>
      </c>
      <c r="H597" s="5"/>
      <c r="I597" s="8">
        <f t="shared" si="7"/>
        <v>5</v>
      </c>
      <c r="J597" s="8">
        <f t="shared" si="8"/>
        <v>2025</v>
      </c>
      <c r="K597" s="8" t="str">
        <f t="shared" si="3"/>
        <v>2025 - 5</v>
      </c>
    </row>
    <row r="598" outlineLevel="1">
      <c r="A598" s="2">
        <v>594.0</v>
      </c>
      <c r="B598" s="3">
        <v>45801.0</v>
      </c>
      <c r="C598" s="5" t="s">
        <v>38</v>
      </c>
      <c r="D598" s="5" t="s">
        <v>39</v>
      </c>
      <c r="E598" s="6">
        <v>-1160.0</v>
      </c>
      <c r="F598" s="7">
        <f t="shared" si="4"/>
        <v>290.42</v>
      </c>
      <c r="G598" s="5" t="s">
        <v>114</v>
      </c>
      <c r="H598" s="5"/>
      <c r="I598" s="8">
        <f t="shared" si="7"/>
        <v>5</v>
      </c>
      <c r="J598" s="8">
        <f t="shared" si="8"/>
        <v>2025</v>
      </c>
      <c r="K598" s="8" t="str">
        <f t="shared" si="3"/>
        <v>2025 - 5</v>
      </c>
    </row>
    <row r="599" outlineLevel="1">
      <c r="A599" s="2">
        <v>595.0</v>
      </c>
      <c r="B599" s="3">
        <v>45801.0</v>
      </c>
      <c r="C599" s="5" t="s">
        <v>24</v>
      </c>
      <c r="D599" s="5" t="s">
        <v>10</v>
      </c>
      <c r="E599" s="6">
        <v>300.0</v>
      </c>
      <c r="F599" s="7">
        <f t="shared" si="4"/>
        <v>590.42</v>
      </c>
      <c r="G599" s="5" t="s">
        <v>268</v>
      </c>
      <c r="H599" s="5"/>
      <c r="I599" s="8">
        <f t="shared" si="7"/>
        <v>5</v>
      </c>
      <c r="J599" s="8">
        <f t="shared" si="8"/>
        <v>2025</v>
      </c>
      <c r="K599" s="8" t="str">
        <f t="shared" si="3"/>
        <v>2025 - 5</v>
      </c>
    </row>
    <row r="600" outlineLevel="1">
      <c r="A600" s="2">
        <v>596.0</v>
      </c>
      <c r="B600" s="3">
        <v>45801.0</v>
      </c>
      <c r="C600" s="5" t="s">
        <v>9</v>
      </c>
      <c r="D600" s="5" t="s">
        <v>10</v>
      </c>
      <c r="E600" s="6">
        <v>-100.0</v>
      </c>
      <c r="F600" s="7">
        <f t="shared" si="4"/>
        <v>490.42</v>
      </c>
      <c r="G600" s="5" t="s">
        <v>125</v>
      </c>
      <c r="H600" s="5"/>
      <c r="I600" s="8">
        <f t="shared" si="7"/>
        <v>5</v>
      </c>
      <c r="J600" s="8">
        <f t="shared" si="8"/>
        <v>2025</v>
      </c>
      <c r="K600" s="8" t="str">
        <f t="shared" si="3"/>
        <v>2025 - 5</v>
      </c>
    </row>
    <row r="601" outlineLevel="1">
      <c r="A601" s="2">
        <v>597.0</v>
      </c>
      <c r="B601" s="3">
        <v>45801.0</v>
      </c>
      <c r="C601" s="5" t="s">
        <v>18</v>
      </c>
      <c r="D601" s="5" t="s">
        <v>39</v>
      </c>
      <c r="E601" s="6">
        <v>-100.0</v>
      </c>
      <c r="F601" s="7">
        <f t="shared" si="4"/>
        <v>390.42</v>
      </c>
      <c r="G601" s="5" t="s">
        <v>269</v>
      </c>
      <c r="H601" s="5"/>
      <c r="I601" s="8">
        <f t="shared" si="7"/>
        <v>5</v>
      </c>
      <c r="J601" s="8">
        <f t="shared" si="8"/>
        <v>2025</v>
      </c>
      <c r="K601" s="8" t="str">
        <f t="shared" si="3"/>
        <v>2025 - 5</v>
      </c>
    </row>
    <row r="602" outlineLevel="1">
      <c r="A602" s="2">
        <v>598.0</v>
      </c>
      <c r="B602" s="3">
        <v>45801.0</v>
      </c>
      <c r="C602" s="5" t="s">
        <v>24</v>
      </c>
      <c r="D602" s="5" t="s">
        <v>10</v>
      </c>
      <c r="E602" s="6">
        <v>300.0</v>
      </c>
      <c r="F602" s="7">
        <f t="shared" si="4"/>
        <v>690.42</v>
      </c>
      <c r="G602" s="5" t="s">
        <v>208</v>
      </c>
      <c r="H602" s="5"/>
      <c r="I602" s="8">
        <f t="shared" si="7"/>
        <v>5</v>
      </c>
      <c r="J602" s="8">
        <f t="shared" si="8"/>
        <v>2025</v>
      </c>
      <c r="K602" s="8" t="str">
        <f t="shared" si="3"/>
        <v>2025 - 5</v>
      </c>
    </row>
    <row r="603" outlineLevel="1">
      <c r="A603" s="2">
        <v>599.0</v>
      </c>
      <c r="B603" s="3">
        <v>45801.0</v>
      </c>
      <c r="C603" s="5" t="s">
        <v>24</v>
      </c>
      <c r="D603" s="5" t="s">
        <v>10</v>
      </c>
      <c r="E603" s="6">
        <v>300.0</v>
      </c>
      <c r="F603" s="7">
        <f t="shared" si="4"/>
        <v>990.42</v>
      </c>
      <c r="G603" s="5" t="s">
        <v>267</v>
      </c>
      <c r="H603" s="5"/>
      <c r="I603" s="8">
        <f t="shared" si="7"/>
        <v>5</v>
      </c>
      <c r="J603" s="8">
        <f t="shared" si="8"/>
        <v>2025</v>
      </c>
      <c r="K603" s="8" t="str">
        <f t="shared" si="3"/>
        <v>2025 - 5</v>
      </c>
    </row>
    <row r="604" outlineLevel="1">
      <c r="A604" s="2">
        <v>600.0</v>
      </c>
      <c r="B604" s="3">
        <v>45802.0</v>
      </c>
      <c r="C604" s="5" t="s">
        <v>16</v>
      </c>
      <c r="D604" s="5" t="s">
        <v>10</v>
      </c>
      <c r="E604" s="6">
        <v>-377.0</v>
      </c>
      <c r="F604" s="7">
        <f t="shared" si="4"/>
        <v>613.42</v>
      </c>
      <c r="G604" s="5" t="s">
        <v>163</v>
      </c>
      <c r="H604" s="5"/>
      <c r="I604" s="8">
        <f t="shared" si="7"/>
        <v>5</v>
      </c>
      <c r="J604" s="8">
        <f t="shared" si="8"/>
        <v>2025</v>
      </c>
      <c r="K604" s="8" t="str">
        <f t="shared" si="3"/>
        <v>2025 - 5</v>
      </c>
    </row>
    <row r="605" outlineLevel="1">
      <c r="A605" s="2">
        <v>601.0</v>
      </c>
      <c r="B605" s="3">
        <v>45802.0</v>
      </c>
      <c r="C605" s="5" t="s">
        <v>24</v>
      </c>
      <c r="D605" s="5" t="s">
        <v>10</v>
      </c>
      <c r="E605" s="6">
        <v>660.0</v>
      </c>
      <c r="F605" s="7">
        <f t="shared" si="4"/>
        <v>1273.42</v>
      </c>
      <c r="G605" s="5" t="s">
        <v>202</v>
      </c>
      <c r="H605" s="5"/>
      <c r="I605" s="8">
        <f t="shared" si="7"/>
        <v>5</v>
      </c>
      <c r="J605" s="8">
        <f t="shared" si="8"/>
        <v>2025</v>
      </c>
      <c r="K605" s="8" t="str">
        <f t="shared" si="3"/>
        <v>2025 - 5</v>
      </c>
    </row>
    <row r="606" outlineLevel="1">
      <c r="A606" s="2">
        <v>602.0</v>
      </c>
      <c r="B606" s="3">
        <v>45803.0</v>
      </c>
      <c r="C606" s="5" t="s">
        <v>49</v>
      </c>
      <c r="D606" s="5" t="s">
        <v>10</v>
      </c>
      <c r="E606" s="6">
        <v>-299.0</v>
      </c>
      <c r="F606" s="7">
        <f t="shared" si="4"/>
        <v>974.42</v>
      </c>
      <c r="G606" s="5" t="s">
        <v>270</v>
      </c>
      <c r="H606" s="5"/>
      <c r="I606" s="8">
        <f t="shared" si="7"/>
        <v>5</v>
      </c>
      <c r="J606" s="8">
        <f t="shared" si="8"/>
        <v>2025</v>
      </c>
      <c r="K606" s="8" t="str">
        <f t="shared" si="3"/>
        <v>2025 - 5</v>
      </c>
    </row>
    <row r="607" outlineLevel="1">
      <c r="A607" s="2">
        <v>603.0</v>
      </c>
      <c r="B607" s="3">
        <v>45804.0</v>
      </c>
      <c r="C607" s="5" t="s">
        <v>16</v>
      </c>
      <c r="D607" s="5" t="s">
        <v>10</v>
      </c>
      <c r="E607" s="6">
        <v>-75.0</v>
      </c>
      <c r="F607" s="7">
        <f t="shared" si="4"/>
        <v>899.42</v>
      </c>
      <c r="G607" s="5" t="s">
        <v>252</v>
      </c>
      <c r="H607" s="5"/>
      <c r="I607" s="8">
        <f t="shared" si="7"/>
        <v>5</v>
      </c>
      <c r="J607" s="8">
        <f t="shared" si="8"/>
        <v>2025</v>
      </c>
      <c r="K607" s="8" t="str">
        <f t="shared" si="3"/>
        <v>2025 - 5</v>
      </c>
    </row>
    <row r="608" outlineLevel="1">
      <c r="A608" s="2">
        <v>604.0</v>
      </c>
      <c r="B608" s="3">
        <v>45804.0</v>
      </c>
      <c r="C608" s="5" t="s">
        <v>18</v>
      </c>
      <c r="D608" s="5" t="s">
        <v>10</v>
      </c>
      <c r="E608" s="6">
        <v>-483.45</v>
      </c>
      <c r="F608" s="7">
        <f t="shared" si="4"/>
        <v>415.97</v>
      </c>
      <c r="G608" s="5" t="s">
        <v>271</v>
      </c>
      <c r="H608" s="5"/>
      <c r="I608" s="8">
        <f t="shared" si="7"/>
        <v>5</v>
      </c>
      <c r="J608" s="8">
        <f t="shared" si="8"/>
        <v>2025</v>
      </c>
      <c r="K608" s="8" t="str">
        <f t="shared" si="3"/>
        <v>2025 - 5</v>
      </c>
    </row>
    <row r="609" outlineLevel="1">
      <c r="A609" s="2">
        <v>605.0</v>
      </c>
      <c r="B609" s="3">
        <v>45806.0</v>
      </c>
      <c r="C609" s="5" t="s">
        <v>18</v>
      </c>
      <c r="D609" s="5" t="s">
        <v>10</v>
      </c>
      <c r="E609" s="6">
        <v>-145.0</v>
      </c>
      <c r="F609" s="7">
        <f t="shared" si="4"/>
        <v>270.97</v>
      </c>
      <c r="H609" s="5"/>
      <c r="I609" s="8">
        <f t="shared" si="7"/>
        <v>5</v>
      </c>
      <c r="J609" s="8">
        <f t="shared" si="8"/>
        <v>2025</v>
      </c>
      <c r="K609" s="8" t="str">
        <f t="shared" si="3"/>
        <v>2025 - 5</v>
      </c>
    </row>
    <row r="610" outlineLevel="1">
      <c r="A610" s="2">
        <v>606.0</v>
      </c>
      <c r="B610" s="3">
        <v>45806.0</v>
      </c>
      <c r="C610" s="5" t="s">
        <v>9</v>
      </c>
      <c r="D610" s="5" t="s">
        <v>10</v>
      </c>
      <c r="E610" s="6">
        <v>105.0</v>
      </c>
      <c r="F610" s="7">
        <f t="shared" si="4"/>
        <v>375.97</v>
      </c>
      <c r="G610" s="5" t="s">
        <v>272</v>
      </c>
      <c r="H610" s="5"/>
      <c r="I610" s="8">
        <f t="shared" si="7"/>
        <v>5</v>
      </c>
      <c r="J610" s="8">
        <f t="shared" si="8"/>
        <v>2025</v>
      </c>
      <c r="K610" s="8" t="str">
        <f t="shared" si="3"/>
        <v>2025 - 5</v>
      </c>
    </row>
    <row r="611" outlineLevel="1">
      <c r="A611" s="1">
        <v>607.0</v>
      </c>
      <c r="B611" s="3">
        <v>45806.0</v>
      </c>
      <c r="C611" s="5" t="s">
        <v>9</v>
      </c>
      <c r="D611" s="5" t="s">
        <v>10</v>
      </c>
      <c r="E611" s="6">
        <v>-228.0</v>
      </c>
      <c r="F611" s="7">
        <f t="shared" si="4"/>
        <v>147.97</v>
      </c>
      <c r="G611" s="5" t="s">
        <v>163</v>
      </c>
      <c r="H611" s="5"/>
      <c r="I611" s="8">
        <f t="shared" si="7"/>
        <v>5</v>
      </c>
      <c r="J611" s="8">
        <f t="shared" si="8"/>
        <v>2025</v>
      </c>
      <c r="K611" s="8" t="str">
        <f t="shared" si="3"/>
        <v>2025 - 5</v>
      </c>
    </row>
    <row r="612">
      <c r="A612" s="13">
        <v>608.0</v>
      </c>
      <c r="B612" s="14">
        <v>45810.0</v>
      </c>
      <c r="C612" s="15" t="s">
        <v>101</v>
      </c>
      <c r="D612" s="15" t="s">
        <v>10</v>
      </c>
      <c r="E612" s="16">
        <v>129533.0</v>
      </c>
      <c r="F612" s="17">
        <f t="shared" si="4"/>
        <v>129680.97</v>
      </c>
      <c r="G612" s="15" t="s">
        <v>273</v>
      </c>
      <c r="H612" s="15"/>
      <c r="I612" s="18">
        <f t="shared" si="7"/>
        <v>6</v>
      </c>
      <c r="J612" s="18">
        <f t="shared" si="8"/>
        <v>2025</v>
      </c>
      <c r="K612" s="18" t="str">
        <f t="shared" si="3"/>
        <v>2025 - 6</v>
      </c>
    </row>
    <row r="613" outlineLevel="1">
      <c r="A613" s="2">
        <v>609.0</v>
      </c>
      <c r="B613" s="3">
        <v>45810.0</v>
      </c>
      <c r="C613" s="5" t="s">
        <v>9</v>
      </c>
      <c r="D613" s="5" t="s">
        <v>10</v>
      </c>
      <c r="E613" s="6">
        <v>-1500.0</v>
      </c>
      <c r="F613" s="7">
        <f t="shared" si="4"/>
        <v>128180.97</v>
      </c>
      <c r="G613" s="5" t="s">
        <v>185</v>
      </c>
      <c r="H613" s="5"/>
      <c r="I613" s="8">
        <f t="shared" si="7"/>
        <v>6</v>
      </c>
      <c r="J613" s="8">
        <f t="shared" si="8"/>
        <v>2025</v>
      </c>
      <c r="K613" s="8" t="str">
        <f t="shared" si="3"/>
        <v>2025 - 6</v>
      </c>
    </row>
    <row r="614" outlineLevel="1">
      <c r="A614" s="2">
        <v>610.0</v>
      </c>
      <c r="B614" s="3">
        <v>45810.0</v>
      </c>
      <c r="C614" s="5" t="s">
        <v>49</v>
      </c>
      <c r="D614" s="5" t="s">
        <v>10</v>
      </c>
      <c r="E614" s="6">
        <v>-470.0</v>
      </c>
      <c r="F614" s="7">
        <f t="shared" si="4"/>
        <v>127710.97</v>
      </c>
      <c r="G614" s="5" t="s">
        <v>88</v>
      </c>
      <c r="H614" s="5"/>
      <c r="I614" s="8">
        <f t="shared" si="7"/>
        <v>6</v>
      </c>
      <c r="J614" s="8">
        <f t="shared" si="8"/>
        <v>2025</v>
      </c>
      <c r="K614" s="8" t="str">
        <f t="shared" si="3"/>
        <v>2025 - 6</v>
      </c>
    </row>
    <row r="615" outlineLevel="1">
      <c r="A615" s="2">
        <v>611.0</v>
      </c>
      <c r="B615" s="3">
        <v>45810.0</v>
      </c>
      <c r="C615" s="5" t="s">
        <v>18</v>
      </c>
      <c r="D615" s="5" t="s">
        <v>10</v>
      </c>
      <c r="E615" s="6">
        <v>-120.0</v>
      </c>
      <c r="F615" s="7">
        <f t="shared" si="4"/>
        <v>127590.97</v>
      </c>
      <c r="G615" s="5" t="s">
        <v>274</v>
      </c>
      <c r="H615" s="5"/>
      <c r="I615" s="8">
        <f t="shared" si="7"/>
        <v>6</v>
      </c>
      <c r="J615" s="8">
        <f t="shared" si="8"/>
        <v>2025</v>
      </c>
      <c r="K615" s="8" t="str">
        <f t="shared" si="3"/>
        <v>2025 - 6</v>
      </c>
    </row>
    <row r="616" outlineLevel="1">
      <c r="A616" s="2">
        <v>612.0</v>
      </c>
      <c r="B616" s="3">
        <v>45811.0</v>
      </c>
      <c r="C616" s="5" t="s">
        <v>18</v>
      </c>
      <c r="D616" s="5" t="s">
        <v>10</v>
      </c>
      <c r="E616" s="6">
        <v>-90.0</v>
      </c>
      <c r="F616" s="7">
        <f t="shared" si="4"/>
        <v>127500.97</v>
      </c>
      <c r="G616" s="5" t="s">
        <v>275</v>
      </c>
      <c r="H616" s="5"/>
      <c r="I616" s="8">
        <f t="shared" si="7"/>
        <v>6</v>
      </c>
      <c r="J616" s="8">
        <f t="shared" si="8"/>
        <v>2025</v>
      </c>
      <c r="K616" s="8" t="str">
        <f t="shared" si="3"/>
        <v>2025 - 6</v>
      </c>
    </row>
    <row r="617" outlineLevel="1">
      <c r="A617" s="2">
        <v>613.0</v>
      </c>
      <c r="B617" s="3">
        <v>45811.0</v>
      </c>
      <c r="C617" s="5" t="s">
        <v>18</v>
      </c>
      <c r="D617" s="5" t="s">
        <v>10</v>
      </c>
      <c r="E617" s="6">
        <v>-90.0</v>
      </c>
      <c r="F617" s="7">
        <f t="shared" si="4"/>
        <v>127410.97</v>
      </c>
      <c r="G617" s="5" t="s">
        <v>275</v>
      </c>
      <c r="H617" s="5"/>
      <c r="I617" s="8">
        <f t="shared" si="7"/>
        <v>6</v>
      </c>
      <c r="J617" s="8">
        <f t="shared" si="8"/>
        <v>2025</v>
      </c>
      <c r="K617" s="8" t="str">
        <f t="shared" si="3"/>
        <v>2025 - 6</v>
      </c>
    </row>
    <row r="618" outlineLevel="1">
      <c r="A618" s="2">
        <v>614.0</v>
      </c>
      <c r="B618" s="3">
        <v>45811.0</v>
      </c>
      <c r="C618" s="5" t="s">
        <v>18</v>
      </c>
      <c r="D618" s="5" t="s">
        <v>10</v>
      </c>
      <c r="E618" s="6">
        <v>-150.0</v>
      </c>
      <c r="F618" s="7">
        <f t="shared" si="4"/>
        <v>127260.97</v>
      </c>
      <c r="G618" s="5" t="s">
        <v>275</v>
      </c>
      <c r="H618" s="5"/>
      <c r="I618" s="8">
        <f t="shared" si="7"/>
        <v>6</v>
      </c>
      <c r="J618" s="8">
        <f t="shared" si="8"/>
        <v>2025</v>
      </c>
      <c r="K618" s="8" t="str">
        <f t="shared" si="3"/>
        <v>2025 - 6</v>
      </c>
    </row>
    <row r="619" outlineLevel="1">
      <c r="A619" s="2">
        <v>615.0</v>
      </c>
      <c r="B619" s="3">
        <v>45812.0</v>
      </c>
      <c r="C619" s="5" t="s">
        <v>9</v>
      </c>
      <c r="D619" s="5" t="s">
        <v>10</v>
      </c>
      <c r="E619" s="6">
        <v>-15200.0</v>
      </c>
      <c r="F619" s="7">
        <f t="shared" si="4"/>
        <v>112060.97</v>
      </c>
      <c r="G619" s="5" t="s">
        <v>276</v>
      </c>
      <c r="H619" s="5"/>
      <c r="I619" s="8">
        <f t="shared" si="7"/>
        <v>6</v>
      </c>
      <c r="J619" s="8">
        <f t="shared" si="8"/>
        <v>2025</v>
      </c>
      <c r="K619" s="8" t="str">
        <f t="shared" si="3"/>
        <v>2025 - 6</v>
      </c>
    </row>
    <row r="620" outlineLevel="1">
      <c r="A620" s="2">
        <v>616.0</v>
      </c>
      <c r="B620" s="3">
        <v>45812.0</v>
      </c>
      <c r="C620" s="5" t="s">
        <v>227</v>
      </c>
      <c r="D620" s="5" t="s">
        <v>10</v>
      </c>
      <c r="E620" s="6">
        <v>-20000.0</v>
      </c>
      <c r="F620" s="7">
        <f t="shared" si="4"/>
        <v>92060.97</v>
      </c>
      <c r="G620" s="5" t="s">
        <v>227</v>
      </c>
      <c r="H620" s="5"/>
      <c r="I620" s="8">
        <f t="shared" si="7"/>
        <v>6</v>
      </c>
      <c r="J620" s="8">
        <f t="shared" si="8"/>
        <v>2025</v>
      </c>
      <c r="K620" s="8" t="str">
        <f t="shared" si="3"/>
        <v>2025 - 6</v>
      </c>
    </row>
    <row r="621" outlineLevel="1">
      <c r="A621" s="2">
        <v>617.0</v>
      </c>
      <c r="B621" s="3">
        <v>45812.0</v>
      </c>
      <c r="C621" s="5" t="s">
        <v>18</v>
      </c>
      <c r="D621" s="5" t="s">
        <v>10</v>
      </c>
      <c r="E621" s="6">
        <v>-275.0</v>
      </c>
      <c r="F621" s="7">
        <f t="shared" si="4"/>
        <v>91785.97</v>
      </c>
      <c r="G621" s="5" t="s">
        <v>252</v>
      </c>
      <c r="H621" s="5"/>
      <c r="I621" s="8">
        <f t="shared" si="7"/>
        <v>6</v>
      </c>
      <c r="J621" s="8">
        <f t="shared" si="8"/>
        <v>2025</v>
      </c>
      <c r="K621" s="8" t="str">
        <f t="shared" si="3"/>
        <v>2025 - 6</v>
      </c>
    </row>
    <row r="622" outlineLevel="1">
      <c r="A622" s="2">
        <v>618.0</v>
      </c>
      <c r="B622" s="3">
        <v>45812.0</v>
      </c>
      <c r="C622" s="5" t="s">
        <v>18</v>
      </c>
      <c r="D622" s="5" t="s">
        <v>10</v>
      </c>
      <c r="E622" s="6">
        <v>-180.0</v>
      </c>
      <c r="F622" s="7">
        <f t="shared" si="4"/>
        <v>91605.97</v>
      </c>
      <c r="G622" s="5" t="s">
        <v>246</v>
      </c>
      <c r="H622" s="5"/>
      <c r="I622" s="8">
        <f t="shared" si="7"/>
        <v>6</v>
      </c>
      <c r="J622" s="8">
        <f t="shared" si="8"/>
        <v>2025</v>
      </c>
      <c r="K622" s="8" t="str">
        <f t="shared" si="3"/>
        <v>2025 - 6</v>
      </c>
    </row>
    <row r="623" outlineLevel="1">
      <c r="A623" s="2">
        <v>619.0</v>
      </c>
      <c r="B623" s="3">
        <v>45813.0</v>
      </c>
      <c r="C623" s="5" t="s">
        <v>9</v>
      </c>
      <c r="D623" s="5" t="s">
        <v>10</v>
      </c>
      <c r="E623" s="6">
        <v>-5954.0</v>
      </c>
      <c r="F623" s="7">
        <f t="shared" si="4"/>
        <v>85651.97</v>
      </c>
      <c r="G623" s="5" t="s">
        <v>277</v>
      </c>
      <c r="H623" s="5"/>
      <c r="I623" s="8">
        <f t="shared" si="7"/>
        <v>6</v>
      </c>
      <c r="J623" s="8">
        <f t="shared" si="8"/>
        <v>2025</v>
      </c>
      <c r="K623" s="8" t="str">
        <f t="shared" si="3"/>
        <v>2025 - 6</v>
      </c>
    </row>
    <row r="624" outlineLevel="1">
      <c r="A624" s="2">
        <v>620.0</v>
      </c>
      <c r="B624" s="3">
        <v>45813.0</v>
      </c>
      <c r="C624" s="5" t="s">
        <v>22</v>
      </c>
      <c r="D624" s="5" t="s">
        <v>10</v>
      </c>
      <c r="E624" s="6">
        <v>-300.0</v>
      </c>
      <c r="F624" s="7">
        <f t="shared" si="4"/>
        <v>85351.97</v>
      </c>
      <c r="H624" s="5"/>
      <c r="I624" s="8">
        <f t="shared" si="7"/>
        <v>6</v>
      </c>
      <c r="J624" s="8">
        <f t="shared" si="8"/>
        <v>2025</v>
      </c>
      <c r="K624" s="8" t="str">
        <f t="shared" si="3"/>
        <v>2025 - 6</v>
      </c>
    </row>
    <row r="625" outlineLevel="1">
      <c r="A625" s="2">
        <v>621.0</v>
      </c>
      <c r="B625" s="3">
        <v>45813.0</v>
      </c>
      <c r="C625" s="5" t="s">
        <v>16</v>
      </c>
      <c r="D625" s="5" t="s">
        <v>10</v>
      </c>
      <c r="E625" s="6">
        <v>-638.0</v>
      </c>
      <c r="F625" s="7">
        <f t="shared" si="4"/>
        <v>84713.97</v>
      </c>
      <c r="G625" s="5" t="s">
        <v>163</v>
      </c>
      <c r="H625" s="5"/>
      <c r="I625" s="8">
        <f t="shared" si="7"/>
        <v>6</v>
      </c>
      <c r="J625" s="8">
        <f t="shared" si="8"/>
        <v>2025</v>
      </c>
      <c r="K625" s="8" t="str">
        <f t="shared" si="3"/>
        <v>2025 - 6</v>
      </c>
    </row>
    <row r="626" outlineLevel="1">
      <c r="A626" s="2">
        <v>622.0</v>
      </c>
      <c r="B626" s="3">
        <v>45813.0</v>
      </c>
      <c r="C626" s="5" t="s">
        <v>18</v>
      </c>
      <c r="D626" s="5" t="s">
        <v>10</v>
      </c>
      <c r="E626" s="6">
        <v>-145.0</v>
      </c>
      <c r="F626" s="7">
        <f t="shared" si="4"/>
        <v>84568.97</v>
      </c>
      <c r="G626" s="5" t="s">
        <v>274</v>
      </c>
      <c r="H626" s="5"/>
      <c r="I626" s="8">
        <f t="shared" si="7"/>
        <v>6</v>
      </c>
      <c r="J626" s="8">
        <f t="shared" si="8"/>
        <v>2025</v>
      </c>
      <c r="K626" s="8" t="str">
        <f t="shared" si="3"/>
        <v>2025 - 6</v>
      </c>
    </row>
    <row r="627" outlineLevel="1">
      <c r="A627" s="2">
        <v>623.0</v>
      </c>
      <c r="B627" s="3">
        <v>45814.0</v>
      </c>
      <c r="C627" s="5" t="s">
        <v>16</v>
      </c>
      <c r="D627" s="5" t="s">
        <v>10</v>
      </c>
      <c r="E627" s="6">
        <v>-3891.0</v>
      </c>
      <c r="F627" s="7">
        <f t="shared" si="4"/>
        <v>80677.97</v>
      </c>
      <c r="G627" s="5" t="s">
        <v>252</v>
      </c>
      <c r="H627" s="5"/>
      <c r="I627" s="8">
        <f t="shared" si="7"/>
        <v>6</v>
      </c>
      <c r="J627" s="8">
        <f t="shared" si="8"/>
        <v>2025</v>
      </c>
      <c r="K627" s="8" t="str">
        <f t="shared" si="3"/>
        <v>2025 - 6</v>
      </c>
    </row>
    <row r="628" outlineLevel="1">
      <c r="A628" s="2">
        <v>624.0</v>
      </c>
      <c r="B628" s="3">
        <v>45814.0</v>
      </c>
      <c r="C628" s="5" t="s">
        <v>9</v>
      </c>
      <c r="D628" s="5" t="s">
        <v>10</v>
      </c>
      <c r="E628" s="6">
        <v>387.0</v>
      </c>
      <c r="F628" s="7">
        <f t="shared" si="4"/>
        <v>81064.97</v>
      </c>
      <c r="G628" s="5" t="s">
        <v>278</v>
      </c>
      <c r="H628" s="5"/>
      <c r="I628" s="8">
        <f t="shared" si="7"/>
        <v>6</v>
      </c>
      <c r="J628" s="8">
        <f t="shared" si="8"/>
        <v>2025</v>
      </c>
      <c r="K628" s="8" t="str">
        <f t="shared" si="3"/>
        <v>2025 - 6</v>
      </c>
    </row>
    <row r="629" outlineLevel="1">
      <c r="A629" s="2">
        <v>625.0</v>
      </c>
      <c r="B629" s="3">
        <v>45814.0</v>
      </c>
      <c r="C629" s="5" t="s">
        <v>18</v>
      </c>
      <c r="D629" s="5" t="s">
        <v>10</v>
      </c>
      <c r="E629" s="6">
        <v>-140.0</v>
      </c>
      <c r="F629" s="7">
        <f t="shared" si="4"/>
        <v>80924.97</v>
      </c>
      <c r="G629" s="5" t="s">
        <v>274</v>
      </c>
      <c r="H629" s="5"/>
      <c r="I629" s="8">
        <f t="shared" si="7"/>
        <v>6</v>
      </c>
      <c r="J629" s="8">
        <f t="shared" si="8"/>
        <v>2025</v>
      </c>
      <c r="K629" s="8" t="str">
        <f t="shared" si="3"/>
        <v>2025 - 6</v>
      </c>
    </row>
    <row r="630" outlineLevel="1">
      <c r="A630" s="2">
        <v>626.0</v>
      </c>
      <c r="B630" s="3">
        <v>45815.0</v>
      </c>
      <c r="C630" s="5" t="s">
        <v>9</v>
      </c>
      <c r="D630" s="5" t="s">
        <v>10</v>
      </c>
      <c r="E630" s="6">
        <v>-679.0</v>
      </c>
      <c r="F630" s="7">
        <f t="shared" si="4"/>
        <v>80245.97</v>
      </c>
      <c r="G630" s="5" t="s">
        <v>279</v>
      </c>
      <c r="H630" s="5"/>
      <c r="I630" s="8">
        <f t="shared" si="7"/>
        <v>6</v>
      </c>
      <c r="J630" s="8">
        <f t="shared" si="8"/>
        <v>2025</v>
      </c>
      <c r="K630" s="8" t="str">
        <f t="shared" si="3"/>
        <v>2025 - 6</v>
      </c>
    </row>
    <row r="631" outlineLevel="1">
      <c r="A631" s="2">
        <v>627.0</v>
      </c>
      <c r="B631" s="3">
        <v>45815.0</v>
      </c>
      <c r="C631" s="5" t="s">
        <v>31</v>
      </c>
      <c r="D631" s="5" t="s">
        <v>39</v>
      </c>
      <c r="E631" s="6">
        <v>-80.0</v>
      </c>
      <c r="F631" s="7">
        <f t="shared" si="4"/>
        <v>80165.97</v>
      </c>
      <c r="G631" s="5" t="s">
        <v>44</v>
      </c>
      <c r="H631" s="5"/>
      <c r="I631" s="8">
        <f t="shared" si="7"/>
        <v>6</v>
      </c>
      <c r="J631" s="8">
        <f t="shared" si="8"/>
        <v>2025</v>
      </c>
      <c r="K631" s="8" t="str">
        <f t="shared" si="3"/>
        <v>2025 - 6</v>
      </c>
    </row>
    <row r="632" outlineLevel="1">
      <c r="A632" s="2">
        <v>628.0</v>
      </c>
      <c r="B632" s="3">
        <v>45815.0</v>
      </c>
      <c r="C632" s="5" t="s">
        <v>16</v>
      </c>
      <c r="D632" s="5" t="s">
        <v>39</v>
      </c>
      <c r="E632" s="6">
        <v>-1070.0</v>
      </c>
      <c r="F632" s="7">
        <f t="shared" si="4"/>
        <v>79095.97</v>
      </c>
      <c r="G632" s="5" t="s">
        <v>280</v>
      </c>
      <c r="H632" s="5"/>
      <c r="I632" s="8">
        <f t="shared" si="7"/>
        <v>6</v>
      </c>
      <c r="J632" s="8">
        <f t="shared" si="8"/>
        <v>2025</v>
      </c>
      <c r="K632" s="8" t="str">
        <f t="shared" si="3"/>
        <v>2025 - 6</v>
      </c>
    </row>
    <row r="633" outlineLevel="1">
      <c r="A633" s="2">
        <v>629.0</v>
      </c>
      <c r="B633" s="3">
        <v>45815.0</v>
      </c>
      <c r="C633" s="5" t="s">
        <v>31</v>
      </c>
      <c r="D633" s="5" t="s">
        <v>10</v>
      </c>
      <c r="E633" s="6">
        <v>-40.0</v>
      </c>
      <c r="F633" s="7">
        <f t="shared" si="4"/>
        <v>79055.97</v>
      </c>
      <c r="G633" s="5" t="s">
        <v>44</v>
      </c>
      <c r="H633" s="5"/>
      <c r="I633" s="8">
        <f t="shared" si="7"/>
        <v>6</v>
      </c>
      <c r="J633" s="8">
        <f t="shared" si="8"/>
        <v>2025</v>
      </c>
      <c r="K633" s="8" t="str">
        <f t="shared" si="3"/>
        <v>2025 - 6</v>
      </c>
    </row>
    <row r="634" outlineLevel="1">
      <c r="A634" s="2">
        <v>630.0</v>
      </c>
      <c r="B634" s="3">
        <v>45815.0</v>
      </c>
      <c r="C634" s="5" t="s">
        <v>9</v>
      </c>
      <c r="D634" s="5" t="s">
        <v>10</v>
      </c>
      <c r="E634" s="6">
        <v>-30.0</v>
      </c>
      <c r="F634" s="7">
        <f t="shared" si="4"/>
        <v>79025.97</v>
      </c>
      <c r="G634" s="5" t="s">
        <v>125</v>
      </c>
      <c r="H634" s="5"/>
      <c r="I634" s="8">
        <f t="shared" si="7"/>
        <v>6</v>
      </c>
      <c r="J634" s="8">
        <f t="shared" si="8"/>
        <v>2025</v>
      </c>
      <c r="K634" s="8" t="str">
        <f t="shared" si="3"/>
        <v>2025 - 6</v>
      </c>
    </row>
    <row r="635" outlineLevel="1">
      <c r="A635" s="2">
        <v>631.0</v>
      </c>
      <c r="B635" s="3">
        <v>45816.0</v>
      </c>
      <c r="C635" s="5" t="s">
        <v>149</v>
      </c>
      <c r="D635" s="5" t="s">
        <v>147</v>
      </c>
      <c r="E635" s="6">
        <v>-6500.0</v>
      </c>
      <c r="F635" s="7">
        <f t="shared" si="4"/>
        <v>72525.97</v>
      </c>
      <c r="G635" s="5" t="s">
        <v>150</v>
      </c>
      <c r="H635" s="5"/>
      <c r="I635" s="8">
        <f t="shared" si="7"/>
        <v>6</v>
      </c>
      <c r="J635" s="8">
        <f t="shared" si="8"/>
        <v>2025</v>
      </c>
      <c r="K635" s="8" t="str">
        <f t="shared" si="3"/>
        <v>2025 - 6</v>
      </c>
    </row>
    <row r="636" outlineLevel="1">
      <c r="A636" s="2">
        <v>632.0</v>
      </c>
      <c r="B636" s="3">
        <v>45816.0</v>
      </c>
      <c r="C636" s="5" t="s">
        <v>24</v>
      </c>
      <c r="D636" s="5" t="s">
        <v>10</v>
      </c>
      <c r="E636" s="6">
        <v>200.0</v>
      </c>
      <c r="F636" s="7">
        <f t="shared" si="4"/>
        <v>72725.97</v>
      </c>
      <c r="G636" s="5" t="s">
        <v>72</v>
      </c>
      <c r="H636" s="5"/>
      <c r="I636" s="8">
        <f t="shared" si="7"/>
        <v>6</v>
      </c>
      <c r="J636" s="8">
        <f t="shared" si="8"/>
        <v>2025</v>
      </c>
      <c r="K636" s="8" t="str">
        <f t="shared" si="3"/>
        <v>2025 - 6</v>
      </c>
    </row>
    <row r="637" outlineLevel="1">
      <c r="A637" s="2">
        <v>633.0</v>
      </c>
      <c r="B637" s="3">
        <v>45816.0</v>
      </c>
      <c r="C637" s="5" t="s">
        <v>9</v>
      </c>
      <c r="D637" s="5" t="s">
        <v>10</v>
      </c>
      <c r="E637" s="6">
        <v>-80.0</v>
      </c>
      <c r="F637" s="7">
        <f t="shared" si="4"/>
        <v>72645.97</v>
      </c>
      <c r="H637" s="5"/>
      <c r="I637" s="8">
        <f t="shared" si="7"/>
        <v>6</v>
      </c>
      <c r="J637" s="8">
        <f t="shared" si="8"/>
        <v>2025</v>
      </c>
      <c r="K637" s="8" t="str">
        <f t="shared" si="3"/>
        <v>2025 - 6</v>
      </c>
    </row>
    <row r="638" outlineLevel="1">
      <c r="A638" s="2">
        <v>634.0</v>
      </c>
      <c r="B638" s="3">
        <v>45816.0</v>
      </c>
      <c r="C638" s="5" t="s">
        <v>16</v>
      </c>
      <c r="D638" s="5" t="s">
        <v>10</v>
      </c>
      <c r="E638" s="6">
        <v>-520.0</v>
      </c>
      <c r="F638" s="7">
        <f t="shared" si="4"/>
        <v>72125.97</v>
      </c>
      <c r="G638" s="5" t="s">
        <v>281</v>
      </c>
      <c r="H638" s="5"/>
      <c r="I638" s="8">
        <f t="shared" si="7"/>
        <v>6</v>
      </c>
      <c r="J638" s="8">
        <f t="shared" si="8"/>
        <v>2025</v>
      </c>
      <c r="K638" s="8" t="str">
        <f t="shared" si="3"/>
        <v>2025 - 6</v>
      </c>
    </row>
    <row r="639" outlineLevel="1">
      <c r="A639" s="2">
        <v>635.0</v>
      </c>
      <c r="B639" s="3">
        <v>45817.0</v>
      </c>
      <c r="C639" s="5" t="s">
        <v>18</v>
      </c>
      <c r="D639" s="5" t="s">
        <v>39</v>
      </c>
      <c r="E639" s="6">
        <v>-265.0</v>
      </c>
      <c r="F639" s="7">
        <f t="shared" si="4"/>
        <v>71860.97</v>
      </c>
      <c r="G639" s="5" t="s">
        <v>274</v>
      </c>
      <c r="H639" s="5"/>
      <c r="I639" s="8">
        <f t="shared" si="7"/>
        <v>6</v>
      </c>
      <c r="J639" s="8">
        <f t="shared" si="8"/>
        <v>2025</v>
      </c>
      <c r="K639" s="8" t="str">
        <f t="shared" si="3"/>
        <v>2025 - 6</v>
      </c>
    </row>
    <row r="640" outlineLevel="1">
      <c r="A640" s="2">
        <v>636.0</v>
      </c>
      <c r="B640" s="3">
        <v>45817.0</v>
      </c>
      <c r="C640" s="5" t="s">
        <v>18</v>
      </c>
      <c r="D640" s="5" t="s">
        <v>39</v>
      </c>
      <c r="E640" s="6">
        <v>-400.0</v>
      </c>
      <c r="F640" s="7">
        <f t="shared" si="4"/>
        <v>71460.97</v>
      </c>
      <c r="G640" s="5" t="s">
        <v>274</v>
      </c>
      <c r="H640" s="5"/>
      <c r="I640" s="8">
        <f t="shared" si="7"/>
        <v>6</v>
      </c>
      <c r="J640" s="8">
        <f t="shared" si="8"/>
        <v>2025</v>
      </c>
      <c r="K640" s="8" t="str">
        <f t="shared" si="3"/>
        <v>2025 - 6</v>
      </c>
    </row>
    <row r="641" outlineLevel="1">
      <c r="A641" s="2">
        <v>637.0</v>
      </c>
      <c r="B641" s="3">
        <v>45817.0</v>
      </c>
      <c r="C641" s="5" t="s">
        <v>24</v>
      </c>
      <c r="D641" s="5" t="s">
        <v>10</v>
      </c>
      <c r="E641" s="6">
        <v>150.0</v>
      </c>
      <c r="F641" s="7">
        <f t="shared" si="4"/>
        <v>71610.97</v>
      </c>
      <c r="G641" s="5" t="s">
        <v>72</v>
      </c>
      <c r="H641" s="5"/>
      <c r="I641" s="8">
        <f t="shared" si="7"/>
        <v>6</v>
      </c>
      <c r="J641" s="8">
        <f t="shared" si="8"/>
        <v>2025</v>
      </c>
      <c r="K641" s="8" t="str">
        <f t="shared" si="3"/>
        <v>2025 - 6</v>
      </c>
    </row>
    <row r="642" outlineLevel="1">
      <c r="A642" s="2">
        <v>638.0</v>
      </c>
      <c r="B642" s="3">
        <v>45818.0</v>
      </c>
      <c r="C642" s="5" t="s">
        <v>18</v>
      </c>
      <c r="D642" s="5" t="s">
        <v>10</v>
      </c>
      <c r="E642" s="6">
        <v>-54.0</v>
      </c>
      <c r="F642" s="7">
        <f t="shared" si="4"/>
        <v>71556.97</v>
      </c>
      <c r="G642" s="5" t="s">
        <v>282</v>
      </c>
      <c r="H642" s="5"/>
      <c r="I642" s="8">
        <f t="shared" si="7"/>
        <v>6</v>
      </c>
      <c r="J642" s="8">
        <f t="shared" si="8"/>
        <v>2025</v>
      </c>
      <c r="K642" s="8" t="str">
        <f t="shared" si="3"/>
        <v>2025 - 6</v>
      </c>
    </row>
    <row r="643" outlineLevel="1">
      <c r="A643" s="2">
        <v>639.0</v>
      </c>
      <c r="B643" s="3">
        <v>45818.0</v>
      </c>
      <c r="C643" s="5" t="s">
        <v>16</v>
      </c>
      <c r="D643" s="5" t="s">
        <v>39</v>
      </c>
      <c r="E643" s="6">
        <v>-142.0</v>
      </c>
      <c r="F643" s="7">
        <f t="shared" si="4"/>
        <v>71414.97</v>
      </c>
      <c r="G643" s="5" t="s">
        <v>240</v>
      </c>
      <c r="H643" s="5"/>
      <c r="I643" s="8">
        <f t="shared" si="7"/>
        <v>6</v>
      </c>
      <c r="J643" s="8">
        <f t="shared" si="8"/>
        <v>2025</v>
      </c>
      <c r="K643" s="8" t="str">
        <f t="shared" si="3"/>
        <v>2025 - 6</v>
      </c>
    </row>
    <row r="644" outlineLevel="1">
      <c r="A644" s="2">
        <v>640.0</v>
      </c>
      <c r="B644" s="3">
        <v>45819.0</v>
      </c>
      <c r="C644" s="5" t="s">
        <v>18</v>
      </c>
      <c r="D644" s="5" t="s">
        <v>39</v>
      </c>
      <c r="E644" s="6">
        <v>-543.41</v>
      </c>
      <c r="F644" s="7">
        <f t="shared" si="4"/>
        <v>70871.56</v>
      </c>
      <c r="G644" s="5" t="s">
        <v>234</v>
      </c>
      <c r="H644" s="5"/>
      <c r="I644" s="8">
        <f t="shared" si="7"/>
        <v>6</v>
      </c>
      <c r="J644" s="8">
        <f t="shared" si="8"/>
        <v>2025</v>
      </c>
      <c r="K644" s="8" t="str">
        <f t="shared" si="3"/>
        <v>2025 - 6</v>
      </c>
    </row>
    <row r="645" outlineLevel="1">
      <c r="A645" s="2">
        <v>641.0</v>
      </c>
      <c r="B645" s="3">
        <v>45820.0</v>
      </c>
      <c r="C645" s="5" t="s">
        <v>49</v>
      </c>
      <c r="D645" s="5" t="s">
        <v>10</v>
      </c>
      <c r="E645" s="6">
        <v>-1924.46</v>
      </c>
      <c r="F645" s="7">
        <f t="shared" si="4"/>
        <v>68947.1</v>
      </c>
      <c r="G645" s="5" t="s">
        <v>283</v>
      </c>
      <c r="H645" s="5"/>
      <c r="I645" s="8">
        <f t="shared" si="7"/>
        <v>6</v>
      </c>
      <c r="J645" s="8">
        <f t="shared" si="8"/>
        <v>2025</v>
      </c>
      <c r="K645" s="8" t="str">
        <f t="shared" si="3"/>
        <v>2025 - 6</v>
      </c>
    </row>
    <row r="646" outlineLevel="1">
      <c r="A646" s="2">
        <v>642.0</v>
      </c>
      <c r="B646" s="3">
        <v>45820.0</v>
      </c>
      <c r="C646" s="5" t="s">
        <v>9</v>
      </c>
      <c r="D646" s="5" t="s">
        <v>10</v>
      </c>
      <c r="E646" s="6">
        <v>-150.0</v>
      </c>
      <c r="F646" s="7">
        <f t="shared" si="4"/>
        <v>68797.1</v>
      </c>
      <c r="H646" s="5"/>
      <c r="I646" s="8">
        <f t="shared" si="7"/>
        <v>6</v>
      </c>
      <c r="J646" s="8">
        <f t="shared" si="8"/>
        <v>2025</v>
      </c>
      <c r="K646" s="8" t="str">
        <f t="shared" si="3"/>
        <v>2025 - 6</v>
      </c>
    </row>
    <row r="647" outlineLevel="1">
      <c r="A647" s="2">
        <v>643.0</v>
      </c>
      <c r="B647" s="3">
        <v>45820.0</v>
      </c>
      <c r="C647" s="5" t="s">
        <v>16</v>
      </c>
      <c r="D647" s="5" t="s">
        <v>10</v>
      </c>
      <c r="E647" s="6">
        <v>-22.0</v>
      </c>
      <c r="F647" s="7">
        <f t="shared" si="4"/>
        <v>68775.1</v>
      </c>
      <c r="G647" s="5" t="s">
        <v>281</v>
      </c>
      <c r="H647" s="5"/>
      <c r="I647" s="8">
        <f t="shared" si="7"/>
        <v>6</v>
      </c>
      <c r="J647" s="8">
        <f t="shared" si="8"/>
        <v>2025</v>
      </c>
      <c r="K647" s="8" t="str">
        <f t="shared" si="3"/>
        <v>2025 - 6</v>
      </c>
    </row>
    <row r="648" outlineLevel="1">
      <c r="A648" s="2">
        <v>644.0</v>
      </c>
      <c r="B648" s="3">
        <v>45820.0</v>
      </c>
      <c r="C648" s="5" t="s">
        <v>9</v>
      </c>
      <c r="D648" s="5" t="s">
        <v>10</v>
      </c>
      <c r="E648" s="6">
        <v>-25.0</v>
      </c>
      <c r="F648" s="7">
        <f t="shared" si="4"/>
        <v>68750.1</v>
      </c>
      <c r="H648" s="5"/>
      <c r="I648" s="8">
        <f t="shared" si="7"/>
        <v>6</v>
      </c>
      <c r="J648" s="8">
        <f t="shared" si="8"/>
        <v>2025</v>
      </c>
      <c r="K648" s="8" t="str">
        <f t="shared" si="3"/>
        <v>2025 - 6</v>
      </c>
    </row>
    <row r="649" outlineLevel="1">
      <c r="A649" s="2">
        <v>645.0</v>
      </c>
      <c r="B649" s="3">
        <v>45821.0</v>
      </c>
      <c r="C649" s="5" t="s">
        <v>12</v>
      </c>
      <c r="D649" s="5" t="s">
        <v>10</v>
      </c>
      <c r="E649" s="6">
        <v>-6700.0</v>
      </c>
      <c r="F649" s="7">
        <f t="shared" si="4"/>
        <v>62050.1</v>
      </c>
      <c r="G649" s="5" t="s">
        <v>284</v>
      </c>
      <c r="H649" s="5"/>
      <c r="I649" s="8">
        <f t="shared" si="7"/>
        <v>6</v>
      </c>
      <c r="J649" s="8">
        <f t="shared" si="8"/>
        <v>2025</v>
      </c>
      <c r="K649" s="8" t="str">
        <f t="shared" si="3"/>
        <v>2025 - 6</v>
      </c>
    </row>
    <row r="650" outlineLevel="1">
      <c r="A650" s="2">
        <v>646.0</v>
      </c>
      <c r="B650" s="3">
        <v>45821.0</v>
      </c>
      <c r="C650" s="5" t="s">
        <v>38</v>
      </c>
      <c r="D650" s="5" t="s">
        <v>39</v>
      </c>
      <c r="E650" s="6">
        <v>-1080.44</v>
      </c>
      <c r="F650" s="7">
        <f t="shared" si="4"/>
        <v>60969.66</v>
      </c>
      <c r="G650" s="5" t="s">
        <v>285</v>
      </c>
      <c r="H650" s="5"/>
      <c r="I650" s="8">
        <f t="shared" si="7"/>
        <v>6</v>
      </c>
      <c r="J650" s="8">
        <f t="shared" si="8"/>
        <v>2025</v>
      </c>
      <c r="K650" s="8" t="str">
        <f t="shared" si="3"/>
        <v>2025 - 6</v>
      </c>
    </row>
    <row r="651" outlineLevel="1">
      <c r="A651" s="2">
        <v>647.0</v>
      </c>
      <c r="B651" s="3">
        <v>45822.0</v>
      </c>
      <c r="C651" s="5" t="s">
        <v>18</v>
      </c>
      <c r="D651" s="5" t="s">
        <v>39</v>
      </c>
      <c r="E651" s="6">
        <v>-415.0</v>
      </c>
      <c r="F651" s="7">
        <f t="shared" si="4"/>
        <v>60554.66</v>
      </c>
      <c r="G651" s="5" t="s">
        <v>286</v>
      </c>
      <c r="H651" s="5"/>
      <c r="I651" s="8">
        <f t="shared" si="7"/>
        <v>6</v>
      </c>
      <c r="J651" s="8">
        <f t="shared" si="8"/>
        <v>2025</v>
      </c>
      <c r="K651" s="8" t="str">
        <f t="shared" si="3"/>
        <v>2025 - 6</v>
      </c>
    </row>
    <row r="652" outlineLevel="1">
      <c r="A652" s="2">
        <v>648.0</v>
      </c>
      <c r="B652" s="3">
        <v>45822.0</v>
      </c>
      <c r="C652" s="5" t="s">
        <v>16</v>
      </c>
      <c r="D652" s="5" t="s">
        <v>39</v>
      </c>
      <c r="E652" s="6">
        <v>-1161.83</v>
      </c>
      <c r="F652" s="7">
        <f t="shared" si="4"/>
        <v>59392.83</v>
      </c>
      <c r="G652" s="5" t="s">
        <v>240</v>
      </c>
      <c r="H652" s="5"/>
      <c r="I652" s="8">
        <f t="shared" si="7"/>
        <v>6</v>
      </c>
      <c r="J652" s="8">
        <f t="shared" si="8"/>
        <v>2025</v>
      </c>
      <c r="K652" s="8" t="str">
        <f t="shared" si="3"/>
        <v>2025 - 6</v>
      </c>
    </row>
    <row r="653" outlineLevel="1">
      <c r="A653" s="2">
        <v>649.0</v>
      </c>
      <c r="B653" s="3">
        <v>45822.0</v>
      </c>
      <c r="C653" s="5" t="s">
        <v>31</v>
      </c>
      <c r="D653" s="5" t="s">
        <v>10</v>
      </c>
      <c r="E653" s="6">
        <v>-110.23</v>
      </c>
      <c r="F653" s="7">
        <f t="shared" si="4"/>
        <v>59282.6</v>
      </c>
      <c r="G653" s="5" t="s">
        <v>287</v>
      </c>
      <c r="H653" s="5"/>
      <c r="I653" s="8">
        <f t="shared" si="7"/>
        <v>6</v>
      </c>
      <c r="J653" s="8">
        <f t="shared" si="8"/>
        <v>2025</v>
      </c>
      <c r="K653" s="8" t="str">
        <f t="shared" si="3"/>
        <v>2025 - 6</v>
      </c>
    </row>
    <row r="654" outlineLevel="1">
      <c r="A654" s="2">
        <v>650.0</v>
      </c>
      <c r="B654" s="3">
        <v>45823.0</v>
      </c>
      <c r="C654" s="5" t="s">
        <v>49</v>
      </c>
      <c r="D654" s="5" t="s">
        <v>10</v>
      </c>
      <c r="E654" s="6">
        <v>-649.0</v>
      </c>
      <c r="F654" s="7">
        <f t="shared" si="4"/>
        <v>58633.6</v>
      </c>
      <c r="G654" s="5" t="s">
        <v>50</v>
      </c>
      <c r="H654" s="5"/>
      <c r="I654" s="8">
        <f t="shared" si="7"/>
        <v>6</v>
      </c>
      <c r="J654" s="8">
        <f t="shared" si="8"/>
        <v>2025</v>
      </c>
      <c r="K654" s="8" t="str">
        <f t="shared" si="3"/>
        <v>2025 - 6</v>
      </c>
    </row>
    <row r="655" outlineLevel="1">
      <c r="A655" s="2">
        <v>651.0</v>
      </c>
      <c r="B655" s="3">
        <v>45823.0</v>
      </c>
      <c r="C655" s="5" t="s">
        <v>9</v>
      </c>
      <c r="D655" s="5" t="s">
        <v>10</v>
      </c>
      <c r="E655" s="6">
        <v>-40.0</v>
      </c>
      <c r="F655" s="7">
        <f t="shared" si="4"/>
        <v>58593.6</v>
      </c>
      <c r="H655" s="5"/>
      <c r="I655" s="8">
        <f t="shared" si="7"/>
        <v>6</v>
      </c>
      <c r="J655" s="8">
        <f t="shared" si="8"/>
        <v>2025</v>
      </c>
      <c r="K655" s="8" t="str">
        <f t="shared" si="3"/>
        <v>2025 - 6</v>
      </c>
    </row>
    <row r="656" outlineLevel="1">
      <c r="A656" s="2">
        <v>652.0</v>
      </c>
      <c r="B656" s="3">
        <v>45823.0</v>
      </c>
      <c r="C656" s="5" t="s">
        <v>16</v>
      </c>
      <c r="D656" s="5" t="s">
        <v>39</v>
      </c>
      <c r="E656" s="6">
        <v>-885.0</v>
      </c>
      <c r="F656" s="7">
        <f t="shared" si="4"/>
        <v>57708.6</v>
      </c>
      <c r="G656" s="5" t="s">
        <v>163</v>
      </c>
      <c r="H656" s="5"/>
      <c r="I656" s="8">
        <f t="shared" si="7"/>
        <v>6</v>
      </c>
      <c r="J656" s="8">
        <f t="shared" si="8"/>
        <v>2025</v>
      </c>
      <c r="K656" s="8" t="str">
        <f t="shared" si="3"/>
        <v>2025 - 6</v>
      </c>
    </row>
    <row r="657" outlineLevel="1">
      <c r="A657" s="2">
        <v>653.0</v>
      </c>
      <c r="B657" s="3">
        <v>45823.0</v>
      </c>
      <c r="C657" s="5" t="s">
        <v>16</v>
      </c>
      <c r="D657" s="5" t="s">
        <v>10</v>
      </c>
      <c r="E657" s="6">
        <v>-54.0</v>
      </c>
      <c r="F657" s="7">
        <f t="shared" si="4"/>
        <v>57654.6</v>
      </c>
      <c r="G657" s="5" t="s">
        <v>281</v>
      </c>
      <c r="H657" s="5"/>
      <c r="I657" s="8">
        <f t="shared" si="7"/>
        <v>6</v>
      </c>
      <c r="J657" s="8">
        <f t="shared" si="8"/>
        <v>2025</v>
      </c>
      <c r="K657" s="8" t="str">
        <f t="shared" si="3"/>
        <v>2025 - 6</v>
      </c>
    </row>
    <row r="658" outlineLevel="1">
      <c r="A658" s="2">
        <v>654.0</v>
      </c>
      <c r="B658" s="3">
        <v>45823.0</v>
      </c>
      <c r="C658" s="5" t="s">
        <v>18</v>
      </c>
      <c r="D658" s="5" t="s">
        <v>39</v>
      </c>
      <c r="E658" s="6">
        <v>-365.0</v>
      </c>
      <c r="F658" s="7">
        <f t="shared" si="4"/>
        <v>57289.6</v>
      </c>
      <c r="G658" s="5" t="s">
        <v>275</v>
      </c>
      <c r="H658" s="5"/>
      <c r="I658" s="8">
        <f t="shared" si="7"/>
        <v>6</v>
      </c>
      <c r="J658" s="8">
        <f t="shared" si="8"/>
        <v>2025</v>
      </c>
      <c r="K658" s="8" t="str">
        <f t="shared" si="3"/>
        <v>2025 - 6</v>
      </c>
    </row>
    <row r="659" outlineLevel="1">
      <c r="A659" s="2">
        <v>655.0</v>
      </c>
      <c r="B659" s="3">
        <v>45824.0</v>
      </c>
      <c r="C659" s="5" t="s">
        <v>18</v>
      </c>
      <c r="D659" s="5" t="s">
        <v>39</v>
      </c>
      <c r="E659" s="6">
        <v>-1080.0</v>
      </c>
      <c r="F659" s="7">
        <f t="shared" si="4"/>
        <v>56209.6</v>
      </c>
      <c r="G659" s="5" t="s">
        <v>288</v>
      </c>
      <c r="H659" s="5"/>
      <c r="I659" s="8">
        <f t="shared" si="7"/>
        <v>6</v>
      </c>
      <c r="J659" s="8">
        <f t="shared" si="8"/>
        <v>2025</v>
      </c>
      <c r="K659" s="8" t="str">
        <f t="shared" si="3"/>
        <v>2025 - 6</v>
      </c>
    </row>
    <row r="660" outlineLevel="1">
      <c r="A660" s="2">
        <v>656.0</v>
      </c>
      <c r="B660" s="3">
        <v>45824.0</v>
      </c>
      <c r="C660" s="5" t="s">
        <v>24</v>
      </c>
      <c r="D660" s="5" t="s">
        <v>10</v>
      </c>
      <c r="E660" s="6">
        <v>310.0</v>
      </c>
      <c r="F660" s="7">
        <f t="shared" si="4"/>
        <v>56519.6</v>
      </c>
      <c r="G660" s="5" t="s">
        <v>284</v>
      </c>
      <c r="H660" s="5"/>
      <c r="I660" s="8">
        <f t="shared" si="7"/>
        <v>6</v>
      </c>
      <c r="J660" s="8">
        <f t="shared" si="8"/>
        <v>2025</v>
      </c>
      <c r="K660" s="8" t="str">
        <f t="shared" si="3"/>
        <v>2025 - 6</v>
      </c>
    </row>
    <row r="661" outlineLevel="1">
      <c r="A661" s="2">
        <v>657.0</v>
      </c>
      <c r="B661" s="3">
        <v>45825.0</v>
      </c>
      <c r="C661" s="5" t="s">
        <v>18</v>
      </c>
      <c r="D661" s="5" t="s">
        <v>39</v>
      </c>
      <c r="E661" s="6">
        <v>-546.0</v>
      </c>
      <c r="F661" s="7">
        <f t="shared" si="4"/>
        <v>55973.6</v>
      </c>
      <c r="G661" s="5" t="s">
        <v>282</v>
      </c>
      <c r="H661" s="5"/>
      <c r="I661" s="8">
        <f t="shared" si="7"/>
        <v>6</v>
      </c>
      <c r="J661" s="8">
        <f t="shared" si="8"/>
        <v>2025</v>
      </c>
      <c r="K661" s="8" t="str">
        <f t="shared" si="3"/>
        <v>2025 - 6</v>
      </c>
    </row>
    <row r="662" outlineLevel="1">
      <c r="A662" s="2">
        <v>658.0</v>
      </c>
      <c r="B662" s="3">
        <v>45825.0</v>
      </c>
      <c r="C662" s="5" t="s">
        <v>18</v>
      </c>
      <c r="D662" s="5" t="s">
        <v>39</v>
      </c>
      <c r="E662" s="6">
        <v>-380.0</v>
      </c>
      <c r="F662" s="7">
        <f t="shared" si="4"/>
        <v>55593.6</v>
      </c>
      <c r="G662" s="5" t="s">
        <v>274</v>
      </c>
      <c r="H662" s="5"/>
      <c r="I662" s="8">
        <f t="shared" si="7"/>
        <v>6</v>
      </c>
      <c r="J662" s="8">
        <f t="shared" si="8"/>
        <v>2025</v>
      </c>
      <c r="K662" s="8" t="str">
        <f t="shared" si="3"/>
        <v>2025 - 6</v>
      </c>
    </row>
    <row r="663" outlineLevel="1">
      <c r="A663" s="2">
        <v>659.0</v>
      </c>
      <c r="B663" s="3">
        <v>45825.0</v>
      </c>
      <c r="C663" s="5" t="s">
        <v>24</v>
      </c>
      <c r="D663" s="5" t="s">
        <v>10</v>
      </c>
      <c r="E663" s="6">
        <v>60.0</v>
      </c>
      <c r="F663" s="7">
        <f t="shared" si="4"/>
        <v>55653.6</v>
      </c>
      <c r="G663" s="5" t="s">
        <v>289</v>
      </c>
      <c r="H663" s="5"/>
      <c r="I663" s="8">
        <f t="shared" si="7"/>
        <v>6</v>
      </c>
      <c r="J663" s="8">
        <f t="shared" si="8"/>
        <v>2025</v>
      </c>
      <c r="K663" s="8" t="str">
        <f t="shared" si="3"/>
        <v>2025 - 6</v>
      </c>
    </row>
    <row r="664" outlineLevel="1">
      <c r="A664" s="2">
        <v>660.0</v>
      </c>
      <c r="B664" s="3">
        <v>45826.0</v>
      </c>
      <c r="C664" s="5" t="s">
        <v>24</v>
      </c>
      <c r="D664" s="5" t="s">
        <v>10</v>
      </c>
      <c r="E664" s="6">
        <v>540.0</v>
      </c>
      <c r="F664" s="7">
        <f t="shared" si="4"/>
        <v>56193.6</v>
      </c>
      <c r="G664" s="5" t="s">
        <v>72</v>
      </c>
      <c r="H664" s="5"/>
      <c r="I664" s="8">
        <f t="shared" si="7"/>
        <v>6</v>
      </c>
      <c r="J664" s="8">
        <f t="shared" si="8"/>
        <v>2025</v>
      </c>
      <c r="K664" s="8" t="str">
        <f t="shared" si="3"/>
        <v>2025 - 6</v>
      </c>
    </row>
    <row r="665" outlineLevel="1">
      <c r="A665" s="2">
        <v>661.0</v>
      </c>
      <c r="B665" s="3">
        <v>45826.0</v>
      </c>
      <c r="C665" s="5" t="s">
        <v>16</v>
      </c>
      <c r="D665" s="5" t="s">
        <v>10</v>
      </c>
      <c r="E665" s="6">
        <v>-62.0</v>
      </c>
      <c r="F665" s="7">
        <f t="shared" si="4"/>
        <v>56131.6</v>
      </c>
      <c r="G665" s="5" t="s">
        <v>240</v>
      </c>
      <c r="H665" s="5"/>
      <c r="I665" s="8">
        <f t="shared" si="7"/>
        <v>6</v>
      </c>
      <c r="J665" s="8">
        <f t="shared" si="8"/>
        <v>2025</v>
      </c>
      <c r="K665" s="8" t="str">
        <f t="shared" si="3"/>
        <v>2025 - 6</v>
      </c>
    </row>
    <row r="666" outlineLevel="1">
      <c r="A666" s="2">
        <v>662.0</v>
      </c>
      <c r="B666" s="3">
        <v>45826.0</v>
      </c>
      <c r="C666" s="5" t="s">
        <v>16</v>
      </c>
      <c r="D666" s="5" t="s">
        <v>10</v>
      </c>
      <c r="E666" s="6">
        <v>-37.0</v>
      </c>
      <c r="F666" s="7">
        <f t="shared" si="4"/>
        <v>56094.6</v>
      </c>
      <c r="G666" s="5" t="s">
        <v>281</v>
      </c>
      <c r="H666" s="5"/>
      <c r="I666" s="8">
        <f t="shared" si="7"/>
        <v>6</v>
      </c>
      <c r="J666" s="8">
        <f t="shared" si="8"/>
        <v>2025</v>
      </c>
      <c r="K666" s="8" t="str">
        <f t="shared" si="3"/>
        <v>2025 - 6</v>
      </c>
    </row>
    <row r="667" outlineLevel="1">
      <c r="A667" s="2">
        <v>663.0</v>
      </c>
      <c r="B667" s="3">
        <v>45826.0</v>
      </c>
      <c r="C667" s="5" t="s">
        <v>18</v>
      </c>
      <c r="D667" s="5" t="s">
        <v>10</v>
      </c>
      <c r="E667" s="6">
        <v>-406.35</v>
      </c>
      <c r="F667" s="7">
        <f t="shared" si="4"/>
        <v>55688.25</v>
      </c>
      <c r="G667" s="5" t="s">
        <v>235</v>
      </c>
      <c r="H667" s="5"/>
      <c r="I667" s="8">
        <f t="shared" si="7"/>
        <v>6</v>
      </c>
      <c r="J667" s="8">
        <f t="shared" si="8"/>
        <v>2025</v>
      </c>
      <c r="K667" s="8" t="str">
        <f t="shared" si="3"/>
        <v>2025 - 6</v>
      </c>
    </row>
    <row r="668" outlineLevel="1">
      <c r="A668" s="2">
        <v>664.0</v>
      </c>
      <c r="B668" s="3">
        <v>45827.0</v>
      </c>
      <c r="C668" s="5" t="s">
        <v>18</v>
      </c>
      <c r="D668" s="5" t="s">
        <v>39</v>
      </c>
      <c r="E668" s="6">
        <v>-530.0</v>
      </c>
      <c r="F668" s="7">
        <f t="shared" si="4"/>
        <v>55158.25</v>
      </c>
      <c r="G668" s="5" t="s">
        <v>249</v>
      </c>
      <c r="H668" s="5"/>
      <c r="I668" s="8">
        <f t="shared" si="7"/>
        <v>6</v>
      </c>
      <c r="J668" s="8">
        <f t="shared" si="8"/>
        <v>2025</v>
      </c>
      <c r="K668" s="8" t="str">
        <f t="shared" si="3"/>
        <v>2025 - 6</v>
      </c>
    </row>
    <row r="669" outlineLevel="1">
      <c r="A669" s="2">
        <v>665.0</v>
      </c>
      <c r="B669" s="3">
        <v>45827.0</v>
      </c>
      <c r="C669" s="5" t="s">
        <v>9</v>
      </c>
      <c r="D669" s="5" t="s">
        <v>10</v>
      </c>
      <c r="E669" s="6">
        <v>-10.0</v>
      </c>
      <c r="F669" s="7">
        <f t="shared" si="4"/>
        <v>55148.25</v>
      </c>
      <c r="G669" s="5" t="s">
        <v>72</v>
      </c>
      <c r="H669" s="5"/>
      <c r="I669" s="8">
        <f t="shared" si="7"/>
        <v>6</v>
      </c>
      <c r="J669" s="8">
        <f t="shared" si="8"/>
        <v>2025</v>
      </c>
      <c r="K669" s="8" t="str">
        <f t="shared" si="3"/>
        <v>2025 - 6</v>
      </c>
    </row>
    <row r="670" outlineLevel="1">
      <c r="A670" s="2">
        <v>666.0</v>
      </c>
      <c r="B670" s="3">
        <v>45827.0</v>
      </c>
      <c r="C670" s="5" t="s">
        <v>24</v>
      </c>
      <c r="D670" s="5" t="s">
        <v>10</v>
      </c>
      <c r="E670" s="6">
        <v>2235.0</v>
      </c>
      <c r="F670" s="7">
        <f t="shared" si="4"/>
        <v>57383.25</v>
      </c>
      <c r="G670" s="5" t="s">
        <v>290</v>
      </c>
      <c r="H670" s="5"/>
      <c r="I670" s="8">
        <f t="shared" si="7"/>
        <v>6</v>
      </c>
      <c r="J670" s="8">
        <f t="shared" si="8"/>
        <v>2025</v>
      </c>
      <c r="K670" s="8" t="str">
        <f t="shared" si="3"/>
        <v>2025 - 6</v>
      </c>
    </row>
    <row r="671" outlineLevel="1">
      <c r="A671" s="2">
        <v>667.0</v>
      </c>
      <c r="B671" s="3">
        <v>45828.0</v>
      </c>
      <c r="C671" s="5" t="s">
        <v>18</v>
      </c>
      <c r="D671" s="5" t="s">
        <v>10</v>
      </c>
      <c r="E671" s="6">
        <v>-90.0</v>
      </c>
      <c r="F671" s="7">
        <f t="shared" si="4"/>
        <v>57293.25</v>
      </c>
      <c r="G671" s="5" t="s">
        <v>249</v>
      </c>
      <c r="H671" s="5"/>
      <c r="I671" s="8">
        <f t="shared" si="7"/>
        <v>6</v>
      </c>
      <c r="J671" s="8">
        <f t="shared" si="8"/>
        <v>2025</v>
      </c>
      <c r="K671" s="8" t="str">
        <f t="shared" si="3"/>
        <v>2025 - 6</v>
      </c>
    </row>
    <row r="672" outlineLevel="1">
      <c r="A672" s="2">
        <v>668.0</v>
      </c>
      <c r="B672" s="3">
        <v>45828.0</v>
      </c>
      <c r="C672" s="5" t="s">
        <v>18</v>
      </c>
      <c r="D672" s="5" t="s">
        <v>10</v>
      </c>
      <c r="E672" s="6">
        <v>-101.6</v>
      </c>
      <c r="F672" s="7">
        <f t="shared" si="4"/>
        <v>57191.65</v>
      </c>
      <c r="G672" s="5" t="s">
        <v>249</v>
      </c>
      <c r="H672" s="5"/>
      <c r="I672" s="8">
        <f t="shared" si="7"/>
        <v>6</v>
      </c>
      <c r="J672" s="8">
        <f t="shared" si="8"/>
        <v>2025</v>
      </c>
      <c r="K672" s="8" t="str">
        <f t="shared" si="3"/>
        <v>2025 - 6</v>
      </c>
    </row>
    <row r="673" outlineLevel="1">
      <c r="A673" s="2">
        <v>669.0</v>
      </c>
      <c r="B673" s="3">
        <v>45828.0</v>
      </c>
      <c r="C673" s="5" t="s">
        <v>18</v>
      </c>
      <c r="D673" s="5" t="s">
        <v>10</v>
      </c>
      <c r="E673" s="6">
        <v>-99.43</v>
      </c>
      <c r="F673" s="7">
        <f t="shared" si="4"/>
        <v>57092.22</v>
      </c>
      <c r="G673" s="5" t="s">
        <v>249</v>
      </c>
      <c r="H673" s="5"/>
      <c r="I673" s="8">
        <f t="shared" si="7"/>
        <v>6</v>
      </c>
      <c r="J673" s="8">
        <f t="shared" si="8"/>
        <v>2025</v>
      </c>
      <c r="K673" s="8" t="str">
        <f t="shared" si="3"/>
        <v>2025 - 6</v>
      </c>
    </row>
    <row r="674" outlineLevel="1">
      <c r="A674" s="2">
        <v>670.0</v>
      </c>
      <c r="B674" s="3">
        <v>45828.0</v>
      </c>
      <c r="C674" s="5" t="s">
        <v>18</v>
      </c>
      <c r="D674" s="5" t="s">
        <v>10</v>
      </c>
      <c r="E674" s="6">
        <v>-79.2</v>
      </c>
      <c r="F674" s="7">
        <f t="shared" si="4"/>
        <v>57013.02</v>
      </c>
      <c r="G674" s="5" t="s">
        <v>249</v>
      </c>
      <c r="H674" s="5"/>
      <c r="I674" s="8">
        <f t="shared" si="7"/>
        <v>6</v>
      </c>
      <c r="J674" s="8">
        <f t="shared" si="8"/>
        <v>2025</v>
      </c>
      <c r="K674" s="8" t="str">
        <f t="shared" si="3"/>
        <v>2025 - 6</v>
      </c>
    </row>
    <row r="675" outlineLevel="1">
      <c r="A675" s="2">
        <v>671.0</v>
      </c>
      <c r="B675" s="3">
        <v>45828.0</v>
      </c>
      <c r="C675" s="5" t="s">
        <v>18</v>
      </c>
      <c r="D675" s="5" t="s">
        <v>39</v>
      </c>
      <c r="E675" s="6">
        <v>-659.65</v>
      </c>
      <c r="F675" s="7">
        <f t="shared" si="4"/>
        <v>56353.37</v>
      </c>
      <c r="G675" s="5" t="s">
        <v>234</v>
      </c>
      <c r="H675" s="5"/>
      <c r="I675" s="8">
        <f t="shared" si="7"/>
        <v>6</v>
      </c>
      <c r="J675" s="8">
        <f t="shared" si="8"/>
        <v>2025</v>
      </c>
      <c r="K675" s="8" t="str">
        <f t="shared" si="3"/>
        <v>2025 - 6</v>
      </c>
    </row>
    <row r="676" outlineLevel="1">
      <c r="A676" s="2">
        <v>672.0</v>
      </c>
      <c r="B676" s="3">
        <v>45829.0</v>
      </c>
      <c r="C676" s="5" t="s">
        <v>16</v>
      </c>
      <c r="D676" s="5" t="s">
        <v>39</v>
      </c>
      <c r="E676" s="6">
        <v>-672.0</v>
      </c>
      <c r="F676" s="7">
        <f t="shared" si="4"/>
        <v>55681.37</v>
      </c>
      <c r="G676" s="5" t="s">
        <v>163</v>
      </c>
      <c r="H676" s="5"/>
      <c r="I676" s="8">
        <f t="shared" si="7"/>
        <v>6</v>
      </c>
      <c r="J676" s="8">
        <f t="shared" si="8"/>
        <v>2025</v>
      </c>
      <c r="K676" s="8" t="str">
        <f t="shared" si="3"/>
        <v>2025 - 6</v>
      </c>
    </row>
    <row r="677" outlineLevel="1">
      <c r="A677" s="2">
        <v>673.0</v>
      </c>
      <c r="B677" s="3">
        <v>45829.0</v>
      </c>
      <c r="C677" s="5" t="s">
        <v>38</v>
      </c>
      <c r="D677" s="5" t="s">
        <v>39</v>
      </c>
      <c r="E677" s="6">
        <v>-700.0</v>
      </c>
      <c r="F677" s="7">
        <f t="shared" si="4"/>
        <v>54981.37</v>
      </c>
      <c r="G677" s="5" t="s">
        <v>114</v>
      </c>
      <c r="H677" s="5"/>
      <c r="I677" s="8">
        <f t="shared" si="7"/>
        <v>6</v>
      </c>
      <c r="J677" s="8">
        <f t="shared" si="8"/>
        <v>2025</v>
      </c>
      <c r="K677" s="8" t="str">
        <f t="shared" si="3"/>
        <v>2025 - 6</v>
      </c>
    </row>
    <row r="678" outlineLevel="1">
      <c r="A678" s="2">
        <v>674.0</v>
      </c>
      <c r="B678" s="3">
        <v>45829.0</v>
      </c>
      <c r="C678" s="5" t="s">
        <v>24</v>
      </c>
      <c r="D678" s="5" t="s">
        <v>10</v>
      </c>
      <c r="E678" s="6">
        <v>350.0</v>
      </c>
      <c r="F678" s="7">
        <f t="shared" si="4"/>
        <v>55331.37</v>
      </c>
      <c r="G678" s="5" t="s">
        <v>291</v>
      </c>
      <c r="H678" s="5"/>
      <c r="I678" s="8">
        <f t="shared" si="7"/>
        <v>6</v>
      </c>
      <c r="J678" s="8">
        <f t="shared" si="8"/>
        <v>2025</v>
      </c>
      <c r="K678" s="8" t="str">
        <f t="shared" si="3"/>
        <v>2025 - 6</v>
      </c>
    </row>
    <row r="679" outlineLevel="1">
      <c r="A679" s="2">
        <v>675.0</v>
      </c>
      <c r="B679" s="3">
        <v>45829.0</v>
      </c>
      <c r="C679" s="5" t="s">
        <v>12</v>
      </c>
      <c r="D679" s="5" t="s">
        <v>10</v>
      </c>
      <c r="E679" s="6">
        <v>-420.0</v>
      </c>
      <c r="F679" s="7">
        <f t="shared" si="4"/>
        <v>54911.37</v>
      </c>
      <c r="G679" s="5" t="s">
        <v>292</v>
      </c>
      <c r="H679" s="5"/>
      <c r="I679" s="8">
        <f t="shared" si="7"/>
        <v>6</v>
      </c>
      <c r="J679" s="8">
        <f t="shared" si="8"/>
        <v>2025</v>
      </c>
      <c r="K679" s="8" t="str">
        <f t="shared" si="3"/>
        <v>2025 - 6</v>
      </c>
    </row>
    <row r="680" outlineLevel="1">
      <c r="A680" s="2">
        <v>676.0</v>
      </c>
      <c r="B680" s="3">
        <v>45830.0</v>
      </c>
      <c r="C680" s="5" t="s">
        <v>18</v>
      </c>
      <c r="D680" s="5" t="s">
        <v>10</v>
      </c>
      <c r="E680" s="6">
        <v>-198.44</v>
      </c>
      <c r="F680" s="7">
        <f t="shared" si="4"/>
        <v>54712.93</v>
      </c>
      <c r="G680" s="5" t="s">
        <v>293</v>
      </c>
      <c r="H680" s="5"/>
      <c r="I680" s="8">
        <f t="shared" si="7"/>
        <v>6</v>
      </c>
      <c r="J680" s="8">
        <f t="shared" si="8"/>
        <v>2025</v>
      </c>
      <c r="K680" s="8" t="str">
        <f t="shared" si="3"/>
        <v>2025 - 6</v>
      </c>
    </row>
    <row r="681" outlineLevel="1">
      <c r="A681" s="2">
        <v>677.0</v>
      </c>
      <c r="B681" s="3">
        <v>45830.0</v>
      </c>
      <c r="C681" s="5" t="s">
        <v>9</v>
      </c>
      <c r="D681" s="5" t="s">
        <v>10</v>
      </c>
      <c r="E681" s="6">
        <v>-80.0</v>
      </c>
      <c r="F681" s="7">
        <f t="shared" si="4"/>
        <v>54632.93</v>
      </c>
      <c r="G681" s="5" t="s">
        <v>125</v>
      </c>
      <c r="H681" s="5"/>
      <c r="I681" s="8">
        <f t="shared" si="7"/>
        <v>6</v>
      </c>
      <c r="J681" s="8">
        <f t="shared" si="8"/>
        <v>2025</v>
      </c>
      <c r="K681" s="8" t="str">
        <f t="shared" si="3"/>
        <v>2025 - 6</v>
      </c>
    </row>
    <row r="682" outlineLevel="1">
      <c r="A682" s="2">
        <v>678.0</v>
      </c>
      <c r="B682" s="3">
        <v>45830.0</v>
      </c>
      <c r="C682" s="5" t="s">
        <v>18</v>
      </c>
      <c r="D682" s="5" t="s">
        <v>39</v>
      </c>
      <c r="E682" s="6">
        <v>-1560.0</v>
      </c>
      <c r="F682" s="7">
        <f t="shared" si="4"/>
        <v>53072.93</v>
      </c>
      <c r="G682" s="5" t="s">
        <v>294</v>
      </c>
      <c r="H682" s="5"/>
      <c r="I682" s="8">
        <f t="shared" si="7"/>
        <v>6</v>
      </c>
      <c r="J682" s="8">
        <f t="shared" si="8"/>
        <v>2025</v>
      </c>
      <c r="K682" s="8" t="str">
        <f t="shared" si="3"/>
        <v>2025 - 6</v>
      </c>
    </row>
    <row r="683" outlineLevel="1">
      <c r="A683" s="2">
        <v>679.0</v>
      </c>
      <c r="B683" s="3">
        <v>45831.0</v>
      </c>
      <c r="C683" s="5" t="s">
        <v>16</v>
      </c>
      <c r="D683" s="5" t="s">
        <v>10</v>
      </c>
      <c r="E683" s="6">
        <v>-250.0</v>
      </c>
      <c r="F683" s="7">
        <f t="shared" si="4"/>
        <v>52822.93</v>
      </c>
      <c r="G683" s="5" t="s">
        <v>281</v>
      </c>
      <c r="H683" s="5"/>
      <c r="I683" s="8">
        <f t="shared" si="7"/>
        <v>6</v>
      </c>
      <c r="J683" s="8">
        <f t="shared" si="8"/>
        <v>2025</v>
      </c>
      <c r="K683" s="8" t="str">
        <f t="shared" si="3"/>
        <v>2025 - 6</v>
      </c>
    </row>
    <row r="684" outlineLevel="1">
      <c r="A684" s="2">
        <v>680.0</v>
      </c>
      <c r="B684" s="3">
        <v>45831.0</v>
      </c>
      <c r="C684" s="5" t="s">
        <v>24</v>
      </c>
      <c r="D684" s="5" t="s">
        <v>10</v>
      </c>
      <c r="E684" s="6">
        <v>60.0</v>
      </c>
      <c r="F684" s="7">
        <f t="shared" si="4"/>
        <v>52882.93</v>
      </c>
      <c r="G684" s="5" t="s">
        <v>295</v>
      </c>
      <c r="H684" s="5"/>
      <c r="I684" s="8">
        <f t="shared" si="7"/>
        <v>6</v>
      </c>
      <c r="J684" s="8">
        <f t="shared" si="8"/>
        <v>2025</v>
      </c>
      <c r="K684" s="8" t="str">
        <f t="shared" si="3"/>
        <v>2025 - 6</v>
      </c>
    </row>
    <row r="685" outlineLevel="1">
      <c r="A685" s="2">
        <v>681.0</v>
      </c>
      <c r="B685" s="3">
        <v>45832.0</v>
      </c>
      <c r="C685" s="5" t="s">
        <v>35</v>
      </c>
      <c r="D685" s="5" t="s">
        <v>10</v>
      </c>
      <c r="E685" s="6">
        <v>-30000.0</v>
      </c>
      <c r="F685" s="7">
        <f t="shared" si="4"/>
        <v>22882.93</v>
      </c>
      <c r="G685" s="5"/>
      <c r="H685" s="5"/>
      <c r="I685" s="8">
        <f t="shared" si="7"/>
        <v>6</v>
      </c>
      <c r="J685" s="8">
        <f t="shared" si="8"/>
        <v>2025</v>
      </c>
      <c r="K685" s="8" t="str">
        <f t="shared" si="3"/>
        <v>2025 - 6</v>
      </c>
    </row>
    <row r="686" outlineLevel="1">
      <c r="A686" s="2">
        <v>682.0</v>
      </c>
      <c r="B686" s="3">
        <v>45832.0</v>
      </c>
      <c r="C686" s="5" t="s">
        <v>18</v>
      </c>
      <c r="D686" s="5" t="s">
        <v>39</v>
      </c>
      <c r="E686" s="6">
        <v>-428.0</v>
      </c>
      <c r="F686" s="7">
        <f t="shared" si="4"/>
        <v>22454.93</v>
      </c>
      <c r="G686" s="5" t="s">
        <v>275</v>
      </c>
      <c r="H686" s="5"/>
      <c r="I686" s="8">
        <f t="shared" si="7"/>
        <v>6</v>
      </c>
      <c r="J686" s="8">
        <f t="shared" si="8"/>
        <v>2025</v>
      </c>
      <c r="K686" s="8" t="str">
        <f t="shared" si="3"/>
        <v>2025 - 6</v>
      </c>
    </row>
    <row r="687" outlineLevel="1">
      <c r="A687" s="2">
        <v>683.0</v>
      </c>
      <c r="B687" s="3">
        <v>45832.0</v>
      </c>
      <c r="C687" s="5" t="s">
        <v>24</v>
      </c>
      <c r="D687" s="5" t="s">
        <v>10</v>
      </c>
      <c r="E687" s="6">
        <v>106.0</v>
      </c>
      <c r="F687" s="7">
        <f t="shared" si="4"/>
        <v>22560.93</v>
      </c>
      <c r="G687" s="5" t="s">
        <v>296</v>
      </c>
      <c r="H687" s="5"/>
      <c r="I687" s="8">
        <f t="shared" si="7"/>
        <v>6</v>
      </c>
      <c r="J687" s="8">
        <f t="shared" si="8"/>
        <v>2025</v>
      </c>
      <c r="K687" s="8" t="str">
        <f t="shared" si="3"/>
        <v>2025 - 6</v>
      </c>
    </row>
    <row r="688" outlineLevel="1">
      <c r="A688" s="2">
        <v>684.0</v>
      </c>
      <c r="B688" s="3">
        <v>45833.0</v>
      </c>
      <c r="C688" s="5" t="s">
        <v>18</v>
      </c>
      <c r="D688" s="5" t="s">
        <v>10</v>
      </c>
      <c r="E688" s="6">
        <v>-150.0</v>
      </c>
      <c r="F688" s="7">
        <f t="shared" si="4"/>
        <v>22410.93</v>
      </c>
      <c r="G688" s="5" t="s">
        <v>250</v>
      </c>
      <c r="H688" s="5"/>
      <c r="I688" s="8">
        <f t="shared" si="7"/>
        <v>6</v>
      </c>
      <c r="J688" s="8">
        <f t="shared" si="8"/>
        <v>2025</v>
      </c>
      <c r="K688" s="8" t="str">
        <f t="shared" si="3"/>
        <v>2025 - 6</v>
      </c>
    </row>
    <row r="689" outlineLevel="1">
      <c r="A689" s="2">
        <v>685.0</v>
      </c>
      <c r="B689" s="3">
        <v>45833.0</v>
      </c>
      <c r="C689" s="5" t="s">
        <v>16</v>
      </c>
      <c r="D689" s="5" t="s">
        <v>10</v>
      </c>
      <c r="E689" s="6">
        <v>-28.0</v>
      </c>
      <c r="F689" s="7">
        <f t="shared" si="4"/>
        <v>22382.93</v>
      </c>
      <c r="G689" s="5" t="s">
        <v>281</v>
      </c>
      <c r="H689" s="5"/>
      <c r="I689" s="8">
        <f t="shared" si="7"/>
        <v>6</v>
      </c>
      <c r="J689" s="8">
        <f t="shared" si="8"/>
        <v>2025</v>
      </c>
      <c r="K689" s="8" t="str">
        <f t="shared" si="3"/>
        <v>2025 - 6</v>
      </c>
    </row>
    <row r="690" outlineLevel="1">
      <c r="A690" s="2">
        <v>686.0</v>
      </c>
      <c r="B690" s="3">
        <v>45834.0</v>
      </c>
      <c r="C690" s="5" t="s">
        <v>49</v>
      </c>
      <c r="D690" s="5" t="s">
        <v>10</v>
      </c>
      <c r="E690" s="6">
        <v>-299.0</v>
      </c>
      <c r="F690" s="7">
        <f t="shared" si="4"/>
        <v>22083.93</v>
      </c>
      <c r="G690" s="5" t="s">
        <v>118</v>
      </c>
      <c r="H690" s="5"/>
      <c r="I690" s="8">
        <f t="shared" si="7"/>
        <v>6</v>
      </c>
      <c r="J690" s="8">
        <f t="shared" si="8"/>
        <v>2025</v>
      </c>
      <c r="K690" s="8" t="str">
        <f t="shared" si="3"/>
        <v>2025 - 6</v>
      </c>
    </row>
    <row r="691" outlineLevel="1">
      <c r="A691" s="2">
        <v>687.0</v>
      </c>
      <c r="B691" s="3">
        <v>45834.0</v>
      </c>
      <c r="C691" s="5" t="s">
        <v>18</v>
      </c>
      <c r="D691" s="5" t="s">
        <v>39</v>
      </c>
      <c r="E691" s="6">
        <v>-972.0</v>
      </c>
      <c r="F691" s="7">
        <f t="shared" si="4"/>
        <v>21111.93</v>
      </c>
      <c r="G691" s="5" t="s">
        <v>246</v>
      </c>
      <c r="H691" s="5"/>
      <c r="I691" s="8">
        <f t="shared" si="7"/>
        <v>6</v>
      </c>
      <c r="J691" s="8">
        <f t="shared" si="8"/>
        <v>2025</v>
      </c>
      <c r="K691" s="8" t="str">
        <f t="shared" si="3"/>
        <v>2025 - 6</v>
      </c>
    </row>
    <row r="692" outlineLevel="1">
      <c r="A692" s="2">
        <v>688.0</v>
      </c>
      <c r="B692" s="3">
        <v>45834.0</v>
      </c>
      <c r="C692" s="5" t="s">
        <v>16</v>
      </c>
      <c r="D692" s="5" t="s">
        <v>39</v>
      </c>
      <c r="E692" s="6">
        <v>-1182.0</v>
      </c>
      <c r="F692" s="7">
        <f t="shared" si="4"/>
        <v>19929.93</v>
      </c>
      <c r="G692" s="5" t="s">
        <v>240</v>
      </c>
      <c r="H692" s="5"/>
      <c r="I692" s="8">
        <f t="shared" si="7"/>
        <v>6</v>
      </c>
      <c r="J692" s="8">
        <f t="shared" si="8"/>
        <v>2025</v>
      </c>
      <c r="K692" s="8" t="str">
        <f t="shared" si="3"/>
        <v>2025 - 6</v>
      </c>
    </row>
    <row r="693" outlineLevel="1">
      <c r="A693" s="2">
        <v>689.0</v>
      </c>
      <c r="B693" s="3">
        <v>45834.0</v>
      </c>
      <c r="C693" s="5" t="s">
        <v>16</v>
      </c>
      <c r="D693" s="30" t="s">
        <v>39</v>
      </c>
      <c r="E693" s="6">
        <v>-238.0</v>
      </c>
      <c r="F693" s="7">
        <f t="shared" si="4"/>
        <v>19691.93</v>
      </c>
      <c r="G693" s="5" t="s">
        <v>281</v>
      </c>
      <c r="H693" s="5"/>
      <c r="I693" s="8">
        <f t="shared" si="7"/>
        <v>6</v>
      </c>
      <c r="J693" s="8">
        <f t="shared" si="8"/>
        <v>2025</v>
      </c>
      <c r="K693" s="8" t="str">
        <f t="shared" si="3"/>
        <v>2025 - 6</v>
      </c>
    </row>
    <row r="694" outlineLevel="1">
      <c r="A694" s="2">
        <v>690.0</v>
      </c>
      <c r="B694" s="3">
        <v>45835.0</v>
      </c>
      <c r="C694" s="5" t="s">
        <v>18</v>
      </c>
      <c r="D694" s="5" t="s">
        <v>39</v>
      </c>
      <c r="E694" s="6">
        <v>-706.0</v>
      </c>
      <c r="F694" s="7">
        <f t="shared" si="4"/>
        <v>18985.93</v>
      </c>
      <c r="G694" s="5" t="s">
        <v>288</v>
      </c>
      <c r="H694" s="5"/>
      <c r="I694" s="8">
        <f t="shared" si="7"/>
        <v>6</v>
      </c>
      <c r="J694" s="8">
        <f t="shared" si="8"/>
        <v>2025</v>
      </c>
      <c r="K694" s="8" t="str">
        <f t="shared" si="3"/>
        <v>2025 - 6</v>
      </c>
    </row>
    <row r="695" outlineLevel="1">
      <c r="A695" s="2">
        <v>691.0</v>
      </c>
      <c r="B695" s="3">
        <v>45835.0</v>
      </c>
      <c r="C695" s="5" t="s">
        <v>18</v>
      </c>
      <c r="D695" s="5" t="s">
        <v>13</v>
      </c>
      <c r="E695" s="6">
        <v>-453.0</v>
      </c>
      <c r="F695" s="7">
        <f t="shared" si="4"/>
        <v>18532.93</v>
      </c>
      <c r="G695" s="5" t="s">
        <v>297</v>
      </c>
      <c r="H695" s="5"/>
      <c r="I695" s="8">
        <f t="shared" si="7"/>
        <v>6</v>
      </c>
      <c r="J695" s="8">
        <f t="shared" si="8"/>
        <v>2025</v>
      </c>
      <c r="K695" s="8" t="str">
        <f t="shared" si="3"/>
        <v>2025 - 6</v>
      </c>
    </row>
    <row r="696" outlineLevel="1">
      <c r="A696" s="2">
        <v>692.0</v>
      </c>
      <c r="B696" s="3">
        <v>45836.0</v>
      </c>
      <c r="C696" s="5" t="s">
        <v>16</v>
      </c>
      <c r="D696" s="5" t="s">
        <v>10</v>
      </c>
      <c r="E696" s="6">
        <v>-213.0</v>
      </c>
      <c r="F696" s="7">
        <f t="shared" si="4"/>
        <v>18319.93</v>
      </c>
      <c r="G696" s="5" t="s">
        <v>240</v>
      </c>
      <c r="H696" s="5"/>
      <c r="I696" s="8">
        <f t="shared" si="7"/>
        <v>6</v>
      </c>
      <c r="J696" s="8">
        <f t="shared" si="8"/>
        <v>2025</v>
      </c>
      <c r="K696" s="8" t="str">
        <f t="shared" si="3"/>
        <v>2025 - 6</v>
      </c>
    </row>
    <row r="697" outlineLevel="1">
      <c r="A697" s="2">
        <v>693.0</v>
      </c>
      <c r="B697" s="3">
        <v>45836.0</v>
      </c>
      <c r="C697" s="5" t="s">
        <v>16</v>
      </c>
      <c r="D697" s="5" t="s">
        <v>10</v>
      </c>
      <c r="E697" s="6">
        <v>-711.05</v>
      </c>
      <c r="F697" s="7">
        <f t="shared" si="4"/>
        <v>17608.88</v>
      </c>
      <c r="G697" s="5" t="s">
        <v>240</v>
      </c>
      <c r="H697" s="5"/>
      <c r="I697" s="8">
        <f t="shared" si="7"/>
        <v>6</v>
      </c>
      <c r="J697" s="8">
        <f t="shared" si="8"/>
        <v>2025</v>
      </c>
      <c r="K697" s="8" t="str">
        <f t="shared" si="3"/>
        <v>2025 - 6</v>
      </c>
    </row>
    <row r="698" outlineLevel="1">
      <c r="A698" s="2">
        <v>694.0</v>
      </c>
      <c r="B698" s="3">
        <v>45837.0</v>
      </c>
      <c r="C698" s="5" t="s">
        <v>16</v>
      </c>
      <c r="D698" s="5" t="s">
        <v>10</v>
      </c>
      <c r="E698" s="6">
        <v>-49.0</v>
      </c>
      <c r="F698" s="7">
        <f t="shared" si="4"/>
        <v>17559.88</v>
      </c>
      <c r="G698" s="5" t="s">
        <v>281</v>
      </c>
      <c r="H698" s="5"/>
      <c r="I698" s="8">
        <f t="shared" si="7"/>
        <v>6</v>
      </c>
      <c r="J698" s="8">
        <f t="shared" si="8"/>
        <v>2025</v>
      </c>
      <c r="K698" s="8" t="str">
        <f t="shared" si="3"/>
        <v>2025 - 6</v>
      </c>
    </row>
    <row r="699" outlineLevel="1">
      <c r="A699" s="2">
        <v>695.0</v>
      </c>
      <c r="B699" s="3">
        <v>45837.0</v>
      </c>
      <c r="C699" s="5" t="s">
        <v>18</v>
      </c>
      <c r="D699" s="5" t="s">
        <v>10</v>
      </c>
      <c r="E699" s="6">
        <v>-601.01</v>
      </c>
      <c r="F699" s="7">
        <f t="shared" si="4"/>
        <v>16958.87</v>
      </c>
      <c r="G699" s="5" t="s">
        <v>234</v>
      </c>
      <c r="H699" s="5"/>
      <c r="I699" s="8">
        <f t="shared" si="7"/>
        <v>6</v>
      </c>
      <c r="J699" s="8">
        <f t="shared" si="8"/>
        <v>2025</v>
      </c>
      <c r="K699" s="8" t="str">
        <f t="shared" si="3"/>
        <v>2025 - 6</v>
      </c>
    </row>
    <row r="700" outlineLevel="1">
      <c r="A700" s="2">
        <v>696.0</v>
      </c>
      <c r="B700" s="3">
        <v>45838.0</v>
      </c>
      <c r="C700" s="5" t="s">
        <v>9</v>
      </c>
      <c r="D700" s="5" t="s">
        <v>10</v>
      </c>
      <c r="E700" s="6">
        <v>241.0</v>
      </c>
      <c r="F700" s="7">
        <f t="shared" si="4"/>
        <v>17199.87</v>
      </c>
      <c r="G700" s="5"/>
      <c r="H700" s="5"/>
      <c r="I700" s="8">
        <f t="shared" si="7"/>
        <v>6</v>
      </c>
      <c r="J700" s="8">
        <f t="shared" si="8"/>
        <v>2025</v>
      </c>
      <c r="K700" s="8" t="str">
        <f t="shared" si="3"/>
        <v>2025 - 6</v>
      </c>
    </row>
    <row r="701">
      <c r="A701" s="13">
        <v>697.0</v>
      </c>
      <c r="B701" s="14">
        <v>45839.0</v>
      </c>
      <c r="C701" s="15" t="s">
        <v>18</v>
      </c>
      <c r="D701" s="15" t="s">
        <v>39</v>
      </c>
      <c r="E701" s="16">
        <v>-2549.95</v>
      </c>
      <c r="F701" s="17">
        <f t="shared" si="4"/>
        <v>14649.92</v>
      </c>
      <c r="G701" s="15" t="s">
        <v>271</v>
      </c>
      <c r="H701" s="15"/>
      <c r="I701" s="18">
        <f t="shared" si="7"/>
        <v>7</v>
      </c>
      <c r="J701" s="18">
        <f t="shared" si="8"/>
        <v>2025</v>
      </c>
      <c r="K701" s="18" t="str">
        <f t="shared" si="3"/>
        <v>2025 - 7</v>
      </c>
    </row>
    <row r="702" outlineLevel="1">
      <c r="A702" s="2">
        <v>698.0</v>
      </c>
      <c r="B702" s="3">
        <v>45839.0</v>
      </c>
      <c r="C702" s="5" t="s">
        <v>18</v>
      </c>
      <c r="D702" s="5" t="s">
        <v>10</v>
      </c>
      <c r="E702" s="6">
        <v>-140.0</v>
      </c>
      <c r="F702" s="7">
        <f t="shared" si="4"/>
        <v>14509.92</v>
      </c>
      <c r="G702" s="5" t="s">
        <v>274</v>
      </c>
      <c r="H702" s="5"/>
      <c r="I702" s="8">
        <f t="shared" si="7"/>
        <v>7</v>
      </c>
      <c r="J702" s="8">
        <f t="shared" si="8"/>
        <v>2025</v>
      </c>
      <c r="K702" s="8" t="str">
        <f t="shared" si="3"/>
        <v>2025 - 7</v>
      </c>
    </row>
    <row r="703" outlineLevel="1">
      <c r="A703" s="2">
        <v>699.0</v>
      </c>
      <c r="B703" s="3">
        <v>45840.0</v>
      </c>
      <c r="C703" s="5" t="s">
        <v>24</v>
      </c>
      <c r="D703" s="5" t="s">
        <v>10</v>
      </c>
      <c r="E703" s="6">
        <v>110.0</v>
      </c>
      <c r="F703" s="7">
        <f t="shared" si="4"/>
        <v>14619.92</v>
      </c>
      <c r="G703" s="5" t="s">
        <v>284</v>
      </c>
      <c r="H703" s="5"/>
      <c r="I703" s="8">
        <f t="shared" si="7"/>
        <v>7</v>
      </c>
      <c r="J703" s="8">
        <f t="shared" si="8"/>
        <v>2025</v>
      </c>
      <c r="K703" s="8" t="str">
        <f t="shared" si="3"/>
        <v>2025 - 7</v>
      </c>
    </row>
    <row r="704" outlineLevel="1">
      <c r="A704" s="2">
        <v>700.0</v>
      </c>
      <c r="B704" s="3">
        <v>45840.0</v>
      </c>
      <c r="C704" s="5" t="s">
        <v>101</v>
      </c>
      <c r="D704" s="5" t="s">
        <v>10</v>
      </c>
      <c r="E704" s="6">
        <v>79533.0</v>
      </c>
      <c r="F704" s="7">
        <f t="shared" si="4"/>
        <v>94152.92</v>
      </c>
      <c r="G704" s="5"/>
      <c r="H704" s="5"/>
      <c r="I704" s="8">
        <f t="shared" si="7"/>
        <v>7</v>
      </c>
      <c r="J704" s="8">
        <f t="shared" si="8"/>
        <v>2025</v>
      </c>
      <c r="K704" s="8" t="str">
        <f t="shared" si="3"/>
        <v>2025 - 7</v>
      </c>
    </row>
    <row r="705" outlineLevel="1">
      <c r="A705" s="2">
        <v>701.0</v>
      </c>
      <c r="B705" s="3">
        <v>45840.0</v>
      </c>
      <c r="C705" s="5" t="s">
        <v>16</v>
      </c>
      <c r="D705" s="5" t="s">
        <v>10</v>
      </c>
      <c r="E705" s="6">
        <v>-142.0</v>
      </c>
      <c r="F705" s="7">
        <f t="shared" si="4"/>
        <v>94010.92</v>
      </c>
      <c r="G705" s="5"/>
      <c r="H705" s="5"/>
      <c r="I705" s="8">
        <f t="shared" si="7"/>
        <v>7</v>
      </c>
      <c r="J705" s="8">
        <f t="shared" si="8"/>
        <v>2025</v>
      </c>
      <c r="K705" s="8" t="str">
        <f t="shared" si="3"/>
        <v>2025 - 7</v>
      </c>
    </row>
    <row r="706" outlineLevel="1">
      <c r="A706" s="2">
        <v>702.0</v>
      </c>
      <c r="B706" s="3">
        <v>45840.0</v>
      </c>
      <c r="C706" s="5" t="s">
        <v>18</v>
      </c>
      <c r="D706" s="5" t="s">
        <v>10</v>
      </c>
      <c r="E706" s="6">
        <v>-476.0</v>
      </c>
      <c r="F706" s="7">
        <f t="shared" si="4"/>
        <v>93534.92</v>
      </c>
      <c r="G706" s="5"/>
      <c r="H706" s="5"/>
      <c r="I706" s="8">
        <f t="shared" si="7"/>
        <v>7</v>
      </c>
      <c r="J706" s="8">
        <f t="shared" si="8"/>
        <v>2025</v>
      </c>
      <c r="K706" s="8" t="str">
        <f t="shared" si="3"/>
        <v>2025 - 7</v>
      </c>
    </row>
    <row r="707" outlineLevel="1">
      <c r="A707" s="2">
        <v>703.0</v>
      </c>
      <c r="B707" s="3">
        <v>45841.0</v>
      </c>
      <c r="C707" s="5" t="s">
        <v>105</v>
      </c>
      <c r="D707" s="5" t="s">
        <v>10</v>
      </c>
      <c r="E707" s="6">
        <v>3500.0</v>
      </c>
      <c r="F707" s="7">
        <f t="shared" si="4"/>
        <v>97034.92</v>
      </c>
      <c r="G707" s="5" t="s">
        <v>284</v>
      </c>
      <c r="H707" s="5"/>
      <c r="I707" s="8">
        <f t="shared" si="7"/>
        <v>7</v>
      </c>
      <c r="J707" s="8">
        <f t="shared" si="8"/>
        <v>2025</v>
      </c>
      <c r="K707" s="8" t="str">
        <f t="shared" si="3"/>
        <v>2025 - 7</v>
      </c>
    </row>
    <row r="708" outlineLevel="1">
      <c r="A708" s="2">
        <v>704.0</v>
      </c>
      <c r="B708" s="3">
        <v>45841.0</v>
      </c>
      <c r="C708" s="5" t="s">
        <v>16</v>
      </c>
      <c r="D708" s="5" t="s">
        <v>39</v>
      </c>
      <c r="E708" s="6">
        <v>-79.0</v>
      </c>
      <c r="F708" s="7">
        <f t="shared" si="4"/>
        <v>96955.92</v>
      </c>
      <c r="G708" s="5" t="s">
        <v>281</v>
      </c>
      <c r="H708" s="5"/>
      <c r="I708" s="8">
        <f t="shared" si="7"/>
        <v>7</v>
      </c>
      <c r="J708" s="8">
        <f t="shared" si="8"/>
        <v>2025</v>
      </c>
      <c r="K708" s="8" t="str">
        <f t="shared" si="3"/>
        <v>2025 - 7</v>
      </c>
    </row>
    <row r="709" outlineLevel="1">
      <c r="A709" s="2">
        <v>705.0</v>
      </c>
      <c r="B709" s="3">
        <v>45841.0</v>
      </c>
      <c r="C709" s="5" t="s">
        <v>35</v>
      </c>
      <c r="D709" s="5" t="s">
        <v>10</v>
      </c>
      <c r="E709" s="6">
        <v>30000.0</v>
      </c>
      <c r="F709" s="7">
        <f t="shared" si="4"/>
        <v>126955.92</v>
      </c>
      <c r="G709" s="5" t="s">
        <v>36</v>
      </c>
      <c r="H709" s="5"/>
      <c r="I709" s="8">
        <f t="shared" si="7"/>
        <v>7</v>
      </c>
      <c r="J709" s="8">
        <f t="shared" si="8"/>
        <v>2025</v>
      </c>
      <c r="K709" s="8" t="str">
        <f t="shared" si="3"/>
        <v>2025 - 7</v>
      </c>
    </row>
    <row r="710" outlineLevel="1">
      <c r="A710" s="2">
        <v>706.0</v>
      </c>
      <c r="B710" s="3">
        <v>45841.0</v>
      </c>
      <c r="C710" s="5" t="s">
        <v>18</v>
      </c>
      <c r="D710" s="5" t="s">
        <v>10</v>
      </c>
      <c r="E710" s="6">
        <v>-413.0</v>
      </c>
      <c r="F710" s="7">
        <f t="shared" si="4"/>
        <v>126542.92</v>
      </c>
      <c r="G710" s="5" t="s">
        <v>288</v>
      </c>
      <c r="H710" s="5"/>
      <c r="I710" s="8">
        <f t="shared" si="7"/>
        <v>7</v>
      </c>
      <c r="J710" s="8">
        <f t="shared" si="8"/>
        <v>2025</v>
      </c>
      <c r="K710" s="8" t="str">
        <f t="shared" si="3"/>
        <v>2025 - 7</v>
      </c>
    </row>
    <row r="711" outlineLevel="1">
      <c r="A711" s="2">
        <v>707.0</v>
      </c>
      <c r="B711" s="3">
        <v>45841.0</v>
      </c>
      <c r="C711" s="5" t="s">
        <v>38</v>
      </c>
      <c r="D711" s="5" t="s">
        <v>39</v>
      </c>
      <c r="E711" s="6">
        <v>-1377.0</v>
      </c>
      <c r="F711" s="7">
        <f t="shared" si="4"/>
        <v>125165.92</v>
      </c>
      <c r="G711" s="5" t="s">
        <v>114</v>
      </c>
      <c r="H711" s="5"/>
      <c r="I711" s="8">
        <f t="shared" si="7"/>
        <v>7</v>
      </c>
      <c r="J711" s="8">
        <f t="shared" si="8"/>
        <v>2025</v>
      </c>
      <c r="K711" s="8" t="str">
        <f t="shared" si="3"/>
        <v>2025 - 7</v>
      </c>
    </row>
    <row r="712" outlineLevel="1">
      <c r="A712" s="2">
        <v>708.0</v>
      </c>
      <c r="B712" s="3">
        <v>45841.0</v>
      </c>
      <c r="C712" s="5" t="s">
        <v>24</v>
      </c>
      <c r="D712" s="5" t="s">
        <v>10</v>
      </c>
      <c r="E712" s="6">
        <v>550.0</v>
      </c>
      <c r="F712" s="7">
        <f t="shared" si="4"/>
        <v>125715.92</v>
      </c>
      <c r="G712" s="5" t="s">
        <v>127</v>
      </c>
      <c r="H712" s="5"/>
      <c r="I712" s="8">
        <f t="shared" si="7"/>
        <v>7</v>
      </c>
      <c r="J712" s="8">
        <f t="shared" si="8"/>
        <v>2025</v>
      </c>
      <c r="K712" s="8" t="str">
        <f t="shared" si="3"/>
        <v>2025 - 7</v>
      </c>
    </row>
    <row r="713" outlineLevel="1">
      <c r="A713" s="2">
        <v>709.0</v>
      </c>
      <c r="B713" s="3">
        <v>45841.0</v>
      </c>
      <c r="C713" s="5" t="s">
        <v>227</v>
      </c>
      <c r="D713" s="5" t="s">
        <v>10</v>
      </c>
      <c r="E713" s="6">
        <v>-20000.0</v>
      </c>
      <c r="F713" s="7">
        <f t="shared" si="4"/>
        <v>105715.92</v>
      </c>
      <c r="G713" s="5"/>
      <c r="H713" s="5"/>
      <c r="I713" s="8">
        <f t="shared" si="7"/>
        <v>7</v>
      </c>
      <c r="J713" s="8">
        <f t="shared" si="8"/>
        <v>2025</v>
      </c>
      <c r="K713" s="8" t="str">
        <f t="shared" si="3"/>
        <v>2025 - 7</v>
      </c>
    </row>
    <row r="714" outlineLevel="1">
      <c r="A714" s="2">
        <v>710.0</v>
      </c>
      <c r="B714" s="3">
        <v>45842.0</v>
      </c>
      <c r="C714" s="5" t="s">
        <v>24</v>
      </c>
      <c r="D714" s="5" t="s">
        <v>10</v>
      </c>
      <c r="E714" s="6">
        <v>275.0</v>
      </c>
      <c r="F714" s="7">
        <f t="shared" si="4"/>
        <v>105990.92</v>
      </c>
      <c r="G714" s="5" t="s">
        <v>267</v>
      </c>
      <c r="H714" s="5"/>
      <c r="I714" s="8">
        <f t="shared" si="7"/>
        <v>7</v>
      </c>
      <c r="J714" s="8">
        <f t="shared" si="8"/>
        <v>2025</v>
      </c>
      <c r="K714" s="8" t="str">
        <f t="shared" si="3"/>
        <v>2025 - 7</v>
      </c>
    </row>
    <row r="715" outlineLevel="1">
      <c r="A715" s="2">
        <v>711.0</v>
      </c>
      <c r="B715" s="3">
        <v>45842.0</v>
      </c>
      <c r="C715" s="5" t="s">
        <v>24</v>
      </c>
      <c r="D715" s="5" t="s">
        <v>10</v>
      </c>
      <c r="E715" s="6">
        <v>2550.0</v>
      </c>
      <c r="F715" s="7">
        <f t="shared" si="4"/>
        <v>108540.92</v>
      </c>
      <c r="G715" s="5" t="s">
        <v>298</v>
      </c>
      <c r="H715" s="5"/>
      <c r="I715" s="8">
        <f t="shared" si="7"/>
        <v>7</v>
      </c>
      <c r="J715" s="8">
        <f t="shared" si="8"/>
        <v>2025</v>
      </c>
      <c r="K715" s="8" t="str">
        <f t="shared" si="3"/>
        <v>2025 - 7</v>
      </c>
    </row>
    <row r="716" outlineLevel="1">
      <c r="A716" s="2">
        <v>712.0</v>
      </c>
      <c r="B716" s="3">
        <v>45842.0</v>
      </c>
      <c r="C716" s="5" t="s">
        <v>9</v>
      </c>
      <c r="D716" s="5" t="s">
        <v>10</v>
      </c>
      <c r="E716" s="6">
        <v>-1319.0</v>
      </c>
      <c r="F716" s="7">
        <f t="shared" si="4"/>
        <v>107221.92</v>
      </c>
      <c r="G716" s="5"/>
      <c r="H716" s="5"/>
      <c r="I716" s="8">
        <f t="shared" si="7"/>
        <v>7</v>
      </c>
      <c r="J716" s="8">
        <f t="shared" si="8"/>
        <v>2025</v>
      </c>
      <c r="K716" s="8" t="str">
        <f t="shared" si="3"/>
        <v>2025 - 7</v>
      </c>
    </row>
    <row r="717" outlineLevel="1">
      <c r="A717" s="2">
        <v>713.0</v>
      </c>
      <c r="B717" s="3">
        <v>45843.0</v>
      </c>
      <c r="C717" s="5" t="s">
        <v>18</v>
      </c>
      <c r="D717" s="5" t="s">
        <v>10</v>
      </c>
      <c r="E717" s="6">
        <v>-560.0</v>
      </c>
      <c r="F717" s="7">
        <f t="shared" si="4"/>
        <v>106661.92</v>
      </c>
      <c r="G717" s="5"/>
      <c r="H717" s="5"/>
      <c r="I717" s="8">
        <f t="shared" si="7"/>
        <v>7</v>
      </c>
      <c r="J717" s="8">
        <f t="shared" si="8"/>
        <v>2025</v>
      </c>
      <c r="K717" s="8" t="str">
        <f t="shared" si="3"/>
        <v>2025 - 7</v>
      </c>
    </row>
    <row r="718" outlineLevel="1">
      <c r="A718" s="2">
        <v>714.0</v>
      </c>
      <c r="B718" s="3">
        <v>45845.0</v>
      </c>
      <c r="C718" s="5" t="s">
        <v>18</v>
      </c>
      <c r="D718" s="5" t="s">
        <v>10</v>
      </c>
      <c r="E718" s="6">
        <v>-26.0</v>
      </c>
      <c r="F718" s="7">
        <f t="shared" si="4"/>
        <v>106635.92</v>
      </c>
      <c r="G718" s="5" t="s">
        <v>299</v>
      </c>
      <c r="H718" s="5"/>
      <c r="I718" s="8">
        <f t="shared" si="7"/>
        <v>7</v>
      </c>
      <c r="J718" s="8">
        <f t="shared" si="8"/>
        <v>2025</v>
      </c>
      <c r="K718" s="8" t="str">
        <f t="shared" si="3"/>
        <v>2025 - 7</v>
      </c>
    </row>
    <row r="719" outlineLevel="1">
      <c r="A719" s="2">
        <v>715.0</v>
      </c>
      <c r="B719" s="3">
        <v>45845.0</v>
      </c>
      <c r="C719" s="5" t="s">
        <v>16</v>
      </c>
      <c r="D719" s="5" t="s">
        <v>10</v>
      </c>
      <c r="E719" s="6">
        <v>-225.0</v>
      </c>
      <c r="F719" s="7">
        <f t="shared" si="4"/>
        <v>106410.92</v>
      </c>
      <c r="G719" s="5" t="s">
        <v>281</v>
      </c>
      <c r="H719" s="5"/>
      <c r="I719" s="8">
        <f t="shared" si="7"/>
        <v>7</v>
      </c>
      <c r="J719" s="8">
        <f t="shared" si="8"/>
        <v>2025</v>
      </c>
      <c r="K719" s="8" t="str">
        <f t="shared" si="3"/>
        <v>2025 - 7</v>
      </c>
    </row>
    <row r="720" outlineLevel="1">
      <c r="A720" s="2">
        <v>716.0</v>
      </c>
      <c r="B720" s="3">
        <v>45845.0</v>
      </c>
      <c r="C720" s="5" t="s">
        <v>9</v>
      </c>
      <c r="D720" s="5" t="s">
        <v>10</v>
      </c>
      <c r="E720" s="6">
        <v>-10.0</v>
      </c>
      <c r="F720" s="7">
        <f t="shared" si="4"/>
        <v>106400.92</v>
      </c>
      <c r="G720" s="5"/>
      <c r="H720" s="5"/>
      <c r="I720" s="8">
        <f t="shared" si="7"/>
        <v>7</v>
      </c>
      <c r="J720" s="8">
        <f t="shared" si="8"/>
        <v>2025</v>
      </c>
      <c r="K720" s="8" t="str">
        <f t="shared" si="3"/>
        <v>2025 - 7</v>
      </c>
    </row>
    <row r="721" outlineLevel="1">
      <c r="A721" s="2">
        <v>717.0</v>
      </c>
      <c r="B721" s="3">
        <v>45846.0</v>
      </c>
      <c r="C721" s="5" t="s">
        <v>24</v>
      </c>
      <c r="D721" s="5" t="s">
        <v>10</v>
      </c>
      <c r="E721" s="6">
        <v>275.0</v>
      </c>
      <c r="F721" s="7">
        <f t="shared" si="4"/>
        <v>106675.92</v>
      </c>
      <c r="G721" s="5" t="s">
        <v>300</v>
      </c>
      <c r="H721" s="5"/>
      <c r="I721" s="8">
        <f t="shared" si="7"/>
        <v>7</v>
      </c>
      <c r="J721" s="8">
        <f t="shared" si="8"/>
        <v>2025</v>
      </c>
      <c r="K721" s="8" t="str">
        <f t="shared" si="3"/>
        <v>2025 - 7</v>
      </c>
    </row>
    <row r="722" outlineLevel="1">
      <c r="A722" s="2">
        <v>718.0</v>
      </c>
      <c r="B722" s="3">
        <v>45846.0</v>
      </c>
      <c r="C722" s="5" t="s">
        <v>16</v>
      </c>
      <c r="D722" s="5" t="s">
        <v>10</v>
      </c>
      <c r="E722" s="6">
        <v>-544.0</v>
      </c>
      <c r="F722" s="7">
        <f t="shared" si="4"/>
        <v>106131.92</v>
      </c>
      <c r="G722" s="5" t="s">
        <v>240</v>
      </c>
      <c r="H722" s="5"/>
      <c r="I722" s="8">
        <f t="shared" si="7"/>
        <v>7</v>
      </c>
      <c r="J722" s="8">
        <f t="shared" si="8"/>
        <v>2025</v>
      </c>
      <c r="K722" s="8" t="str">
        <f t="shared" si="3"/>
        <v>2025 - 7</v>
      </c>
    </row>
    <row r="723" outlineLevel="1">
      <c r="A723" s="2">
        <v>719.0</v>
      </c>
      <c r="B723" s="3">
        <v>45846.0</v>
      </c>
      <c r="C723" s="5" t="s">
        <v>16</v>
      </c>
      <c r="D723" s="5" t="s">
        <v>10</v>
      </c>
      <c r="E723" s="6">
        <v>-112.0</v>
      </c>
      <c r="F723" s="7">
        <f t="shared" si="4"/>
        <v>106019.92</v>
      </c>
      <c r="G723" s="5" t="s">
        <v>281</v>
      </c>
      <c r="H723" s="5"/>
      <c r="I723" s="8">
        <f t="shared" si="7"/>
        <v>7</v>
      </c>
      <c r="J723" s="8">
        <f t="shared" si="8"/>
        <v>2025</v>
      </c>
      <c r="K723" s="8" t="str">
        <f t="shared" si="3"/>
        <v>2025 - 7</v>
      </c>
    </row>
    <row r="724" outlineLevel="1">
      <c r="A724" s="2">
        <v>720.0</v>
      </c>
      <c r="B724" s="3">
        <v>45846.0</v>
      </c>
      <c r="C724" s="5" t="s">
        <v>9</v>
      </c>
      <c r="D724" s="5" t="s">
        <v>10</v>
      </c>
      <c r="E724" s="6">
        <v>-200.0</v>
      </c>
      <c r="F724" s="7">
        <f t="shared" si="4"/>
        <v>105819.92</v>
      </c>
      <c r="G724" s="5"/>
      <c r="H724" s="5"/>
      <c r="I724" s="8">
        <f t="shared" si="7"/>
        <v>7</v>
      </c>
      <c r="J724" s="8">
        <f t="shared" si="8"/>
        <v>2025</v>
      </c>
      <c r="K724" s="8" t="str">
        <f t="shared" si="3"/>
        <v>2025 - 7</v>
      </c>
    </row>
    <row r="725" outlineLevel="1">
      <c r="A725" s="2">
        <v>721.0</v>
      </c>
      <c r="B725" s="3">
        <v>45846.0</v>
      </c>
      <c r="C725" s="5" t="s">
        <v>24</v>
      </c>
      <c r="D725" s="5" t="s">
        <v>10</v>
      </c>
      <c r="E725" s="6">
        <v>100.0</v>
      </c>
      <c r="F725" s="7">
        <f t="shared" si="4"/>
        <v>105919.92</v>
      </c>
      <c r="G725" s="5" t="s">
        <v>72</v>
      </c>
      <c r="H725" s="5"/>
      <c r="I725" s="8">
        <f t="shared" si="7"/>
        <v>7</v>
      </c>
      <c r="J725" s="8">
        <f t="shared" si="8"/>
        <v>2025</v>
      </c>
      <c r="K725" s="8" t="str">
        <f t="shared" si="3"/>
        <v>2025 - 7</v>
      </c>
    </row>
    <row r="726" outlineLevel="1">
      <c r="A726" s="2">
        <v>722.0</v>
      </c>
      <c r="B726" s="3">
        <v>45846.0</v>
      </c>
      <c r="C726" s="5" t="s">
        <v>24</v>
      </c>
      <c r="D726" s="5" t="s">
        <v>10</v>
      </c>
      <c r="E726" s="6">
        <v>135.0</v>
      </c>
      <c r="F726" s="7">
        <f t="shared" si="4"/>
        <v>106054.92</v>
      </c>
      <c r="G726" s="5" t="s">
        <v>300</v>
      </c>
      <c r="H726" s="5"/>
      <c r="I726" s="8">
        <f t="shared" si="7"/>
        <v>7</v>
      </c>
      <c r="J726" s="8">
        <f t="shared" si="8"/>
        <v>2025</v>
      </c>
      <c r="K726" s="8" t="str">
        <f t="shared" si="3"/>
        <v>2025 - 7</v>
      </c>
    </row>
    <row r="727" outlineLevel="1">
      <c r="A727" s="2">
        <v>723.0</v>
      </c>
      <c r="B727" s="3">
        <v>45847.0</v>
      </c>
      <c r="C727" s="5" t="s">
        <v>38</v>
      </c>
      <c r="D727" s="30" t="s">
        <v>39</v>
      </c>
      <c r="E727" s="6">
        <v>-5296.9</v>
      </c>
      <c r="F727" s="7">
        <f t="shared" si="4"/>
        <v>100758.02</v>
      </c>
      <c r="G727" s="5" t="s">
        <v>114</v>
      </c>
      <c r="H727" s="5"/>
      <c r="I727" s="8">
        <f t="shared" si="7"/>
        <v>7</v>
      </c>
      <c r="J727" s="8">
        <f t="shared" si="8"/>
        <v>2025</v>
      </c>
      <c r="K727" s="8" t="str">
        <f t="shared" si="3"/>
        <v>2025 - 7</v>
      </c>
    </row>
    <row r="728" outlineLevel="1">
      <c r="A728" s="2">
        <v>724.0</v>
      </c>
      <c r="B728" s="3">
        <v>45847.0</v>
      </c>
      <c r="C728" s="5" t="s">
        <v>24</v>
      </c>
      <c r="D728" s="5" t="s">
        <v>10</v>
      </c>
      <c r="E728" s="6">
        <v>3024.0</v>
      </c>
      <c r="F728" s="7">
        <f t="shared" si="4"/>
        <v>103782.02</v>
      </c>
      <c r="G728" s="5" t="s">
        <v>72</v>
      </c>
      <c r="H728" s="5"/>
      <c r="I728" s="8">
        <f t="shared" si="7"/>
        <v>7</v>
      </c>
      <c r="J728" s="8">
        <f t="shared" si="8"/>
        <v>2025</v>
      </c>
      <c r="K728" s="8" t="str">
        <f t="shared" si="3"/>
        <v>2025 - 7</v>
      </c>
    </row>
    <row r="729" outlineLevel="1">
      <c r="A729" s="2">
        <v>725.0</v>
      </c>
      <c r="B729" s="3">
        <v>45847.0</v>
      </c>
      <c r="C729" s="5" t="s">
        <v>24</v>
      </c>
      <c r="D729" s="5" t="s">
        <v>10</v>
      </c>
      <c r="E729" s="6">
        <v>756.0</v>
      </c>
      <c r="F729" s="7">
        <f t="shared" si="4"/>
        <v>104538.02</v>
      </c>
      <c r="G729" s="5" t="s">
        <v>267</v>
      </c>
      <c r="H729" s="5"/>
      <c r="I729" s="8">
        <f t="shared" si="7"/>
        <v>7</v>
      </c>
      <c r="J729" s="8">
        <f t="shared" si="8"/>
        <v>2025</v>
      </c>
      <c r="K729" s="8" t="str">
        <f t="shared" si="3"/>
        <v>2025 - 7</v>
      </c>
    </row>
    <row r="730" outlineLevel="1">
      <c r="A730" s="2">
        <v>726.0</v>
      </c>
      <c r="B730" s="3">
        <v>45847.0</v>
      </c>
      <c r="C730" s="5" t="s">
        <v>18</v>
      </c>
      <c r="D730" s="5" t="s">
        <v>39</v>
      </c>
      <c r="E730" s="6">
        <v>-290.0</v>
      </c>
      <c r="F730" s="7">
        <f t="shared" si="4"/>
        <v>104248.02</v>
      </c>
      <c r="G730" s="5" t="s">
        <v>301</v>
      </c>
      <c r="H730" s="5"/>
      <c r="I730" s="8">
        <f t="shared" si="7"/>
        <v>7</v>
      </c>
      <c r="J730" s="8">
        <f t="shared" si="8"/>
        <v>2025</v>
      </c>
      <c r="K730" s="8" t="str">
        <f t="shared" si="3"/>
        <v>2025 - 7</v>
      </c>
    </row>
    <row r="731" outlineLevel="1">
      <c r="A731" s="2">
        <v>727.0</v>
      </c>
      <c r="B731" s="3">
        <v>45847.0</v>
      </c>
      <c r="C731" s="5" t="s">
        <v>18</v>
      </c>
      <c r="D731" s="5" t="s">
        <v>39</v>
      </c>
      <c r="E731" s="6">
        <v>-170.0</v>
      </c>
      <c r="F731" s="7">
        <f t="shared" si="4"/>
        <v>104078.02</v>
      </c>
      <c r="G731" s="5" t="s">
        <v>302</v>
      </c>
      <c r="H731" s="5"/>
      <c r="I731" s="8">
        <f t="shared" si="7"/>
        <v>7</v>
      </c>
      <c r="J731" s="8">
        <f t="shared" si="8"/>
        <v>2025</v>
      </c>
      <c r="K731" s="8" t="str">
        <f t="shared" si="3"/>
        <v>2025 - 7</v>
      </c>
    </row>
    <row r="732" outlineLevel="1">
      <c r="A732" s="2">
        <v>728.0</v>
      </c>
      <c r="B732" s="3">
        <v>45847.0</v>
      </c>
      <c r="C732" s="5" t="s">
        <v>18</v>
      </c>
      <c r="D732" s="5" t="s">
        <v>39</v>
      </c>
      <c r="E732" s="6">
        <v>-280.0</v>
      </c>
      <c r="F732" s="7">
        <f t="shared" si="4"/>
        <v>103798.02</v>
      </c>
      <c r="G732" s="5"/>
      <c r="H732" s="5"/>
      <c r="I732" s="8">
        <f t="shared" si="7"/>
        <v>7</v>
      </c>
      <c r="J732" s="8">
        <f t="shared" si="8"/>
        <v>2025</v>
      </c>
      <c r="K732" s="8" t="str">
        <f t="shared" si="3"/>
        <v>2025 - 7</v>
      </c>
    </row>
    <row r="733" outlineLevel="1">
      <c r="A733" s="2">
        <v>729.0</v>
      </c>
      <c r="B733" s="3">
        <v>45848.0</v>
      </c>
      <c r="C733" s="5" t="s">
        <v>16</v>
      </c>
      <c r="D733" s="5" t="s">
        <v>39</v>
      </c>
      <c r="E733" s="6">
        <v>-781.0</v>
      </c>
      <c r="F733" s="7">
        <f t="shared" si="4"/>
        <v>103017.02</v>
      </c>
      <c r="G733" s="5" t="s">
        <v>303</v>
      </c>
      <c r="H733" s="5"/>
      <c r="I733" s="8">
        <f t="shared" si="7"/>
        <v>7</v>
      </c>
      <c r="J733" s="8">
        <f t="shared" si="8"/>
        <v>2025</v>
      </c>
      <c r="K733" s="8" t="str">
        <f t="shared" si="3"/>
        <v>2025 - 7</v>
      </c>
    </row>
    <row r="734" outlineLevel="1">
      <c r="A734" s="2">
        <v>730.0</v>
      </c>
      <c r="B734" s="3">
        <v>45848.0</v>
      </c>
      <c r="C734" s="5" t="s">
        <v>24</v>
      </c>
      <c r="D734" s="5" t="s">
        <v>10</v>
      </c>
      <c r="E734" s="6">
        <v>557.0</v>
      </c>
      <c r="F734" s="7">
        <f t="shared" si="4"/>
        <v>103574.02</v>
      </c>
      <c r="G734" s="5" t="s">
        <v>163</v>
      </c>
      <c r="H734" s="5"/>
      <c r="I734" s="8">
        <f t="shared" si="7"/>
        <v>7</v>
      </c>
      <c r="J734" s="8">
        <f t="shared" si="8"/>
        <v>2025</v>
      </c>
      <c r="K734" s="8" t="str">
        <f t="shared" si="3"/>
        <v>2025 - 7</v>
      </c>
    </row>
    <row r="735" outlineLevel="1">
      <c r="A735" s="2">
        <v>731.0</v>
      </c>
      <c r="B735" s="3">
        <v>45849.0</v>
      </c>
      <c r="C735" s="5" t="s">
        <v>18</v>
      </c>
      <c r="D735" s="5" t="s">
        <v>39</v>
      </c>
      <c r="E735" s="6">
        <v>-349.0</v>
      </c>
      <c r="F735" s="7">
        <f t="shared" si="4"/>
        <v>103225.02</v>
      </c>
      <c r="G735" s="5" t="s">
        <v>304</v>
      </c>
      <c r="H735" s="5"/>
      <c r="I735" s="8">
        <f t="shared" si="7"/>
        <v>7</v>
      </c>
      <c r="J735" s="8">
        <f t="shared" si="8"/>
        <v>2025</v>
      </c>
      <c r="K735" s="8" t="str">
        <f t="shared" si="3"/>
        <v>2025 - 7</v>
      </c>
    </row>
    <row r="736" outlineLevel="1">
      <c r="A736" s="2">
        <v>732.0</v>
      </c>
      <c r="B736" s="3">
        <v>45849.0</v>
      </c>
      <c r="C736" s="5" t="s">
        <v>18</v>
      </c>
      <c r="D736" s="5" t="s">
        <v>10</v>
      </c>
      <c r="E736" s="6">
        <v>-448.0</v>
      </c>
      <c r="F736" s="7">
        <f t="shared" si="4"/>
        <v>102777.02</v>
      </c>
      <c r="G736" s="5" t="s">
        <v>288</v>
      </c>
      <c r="H736" s="5"/>
      <c r="I736" s="8">
        <f t="shared" si="7"/>
        <v>7</v>
      </c>
      <c r="J736" s="8">
        <f t="shared" si="8"/>
        <v>2025</v>
      </c>
      <c r="K736" s="8" t="str">
        <f t="shared" si="3"/>
        <v>2025 - 7</v>
      </c>
    </row>
    <row r="737" outlineLevel="1">
      <c r="A737" s="2">
        <v>733.0</v>
      </c>
      <c r="B737" s="3">
        <v>45849.0</v>
      </c>
      <c r="C737" s="5" t="s">
        <v>18</v>
      </c>
      <c r="D737" s="5" t="s">
        <v>13</v>
      </c>
      <c r="E737" s="6">
        <v>-399.0</v>
      </c>
      <c r="F737" s="7">
        <f t="shared" si="4"/>
        <v>102378.02</v>
      </c>
      <c r="G737" s="5" t="s">
        <v>288</v>
      </c>
      <c r="H737" s="5"/>
      <c r="I737" s="8">
        <f t="shared" si="7"/>
        <v>7</v>
      </c>
      <c r="J737" s="8">
        <f t="shared" si="8"/>
        <v>2025</v>
      </c>
      <c r="K737" s="8" t="str">
        <f t="shared" si="3"/>
        <v>2025 - 7</v>
      </c>
    </row>
    <row r="738" outlineLevel="1">
      <c r="A738" s="2">
        <v>734.0</v>
      </c>
      <c r="B738" s="3">
        <v>45850.0</v>
      </c>
      <c r="C738" s="5" t="s">
        <v>18</v>
      </c>
      <c r="D738" s="5" t="s">
        <v>10</v>
      </c>
      <c r="E738" s="6">
        <v>-210.0</v>
      </c>
      <c r="F738" s="7">
        <f t="shared" si="4"/>
        <v>102168.02</v>
      </c>
      <c r="G738" s="5" t="s">
        <v>305</v>
      </c>
      <c r="H738" s="5"/>
      <c r="I738" s="8">
        <f t="shared" si="7"/>
        <v>7</v>
      </c>
      <c r="J738" s="8">
        <f t="shared" si="8"/>
        <v>2025</v>
      </c>
      <c r="K738" s="8" t="str">
        <f t="shared" si="3"/>
        <v>2025 - 7</v>
      </c>
    </row>
    <row r="739" outlineLevel="1">
      <c r="A739" s="2">
        <v>735.0</v>
      </c>
      <c r="B739" s="3">
        <v>45850.0</v>
      </c>
      <c r="C739" s="5" t="s">
        <v>16</v>
      </c>
      <c r="D739" s="5" t="s">
        <v>10</v>
      </c>
      <c r="E739" s="6">
        <v>-110.0</v>
      </c>
      <c r="F739" s="7">
        <f t="shared" si="4"/>
        <v>102058.02</v>
      </c>
      <c r="G739" s="5" t="s">
        <v>281</v>
      </c>
      <c r="H739" s="5"/>
      <c r="I739" s="8">
        <f t="shared" si="7"/>
        <v>7</v>
      </c>
      <c r="J739" s="8">
        <f t="shared" si="8"/>
        <v>2025</v>
      </c>
      <c r="K739" s="8" t="str">
        <f t="shared" si="3"/>
        <v>2025 - 7</v>
      </c>
    </row>
    <row r="740" outlineLevel="1">
      <c r="A740" s="2">
        <v>736.0</v>
      </c>
      <c r="B740" s="3">
        <v>45850.0</v>
      </c>
      <c r="C740" s="5" t="s">
        <v>18</v>
      </c>
      <c r="D740" s="5" t="s">
        <v>39</v>
      </c>
      <c r="E740" s="6">
        <v>-717.0</v>
      </c>
      <c r="F740" s="7">
        <f t="shared" si="4"/>
        <v>101341.02</v>
      </c>
      <c r="G740" s="5" t="s">
        <v>306</v>
      </c>
      <c r="H740" s="5"/>
      <c r="I740" s="8">
        <f t="shared" si="7"/>
        <v>7</v>
      </c>
      <c r="J740" s="8">
        <f t="shared" si="8"/>
        <v>2025</v>
      </c>
      <c r="K740" s="8" t="str">
        <f t="shared" si="3"/>
        <v>2025 - 7</v>
      </c>
    </row>
    <row r="741" outlineLevel="1">
      <c r="A741" s="2">
        <v>737.0</v>
      </c>
      <c r="B741" s="3">
        <v>45851.0</v>
      </c>
      <c r="C741" s="5" t="s">
        <v>18</v>
      </c>
      <c r="D741" s="5" t="s">
        <v>39</v>
      </c>
      <c r="E741" s="6">
        <v>-240.0</v>
      </c>
      <c r="F741" s="7">
        <f t="shared" si="4"/>
        <v>101101.02</v>
      </c>
      <c r="G741" s="5" t="s">
        <v>307</v>
      </c>
      <c r="H741" s="5"/>
      <c r="I741" s="8">
        <f t="shared" si="7"/>
        <v>7</v>
      </c>
      <c r="J741" s="8">
        <f t="shared" si="8"/>
        <v>2025</v>
      </c>
      <c r="K741" s="8" t="str">
        <f t="shared" si="3"/>
        <v>2025 - 7</v>
      </c>
    </row>
    <row r="742" outlineLevel="1">
      <c r="A742" s="2">
        <v>738.0</v>
      </c>
      <c r="B742" s="3">
        <v>45852.0</v>
      </c>
      <c r="C742" s="5" t="s">
        <v>18</v>
      </c>
      <c r="D742" s="5" t="s">
        <v>39</v>
      </c>
      <c r="E742" s="6">
        <v>-546.0</v>
      </c>
      <c r="F742" s="7">
        <f t="shared" si="4"/>
        <v>100555.02</v>
      </c>
      <c r="G742" s="5" t="s">
        <v>238</v>
      </c>
      <c r="H742" s="5"/>
      <c r="I742" s="8">
        <f t="shared" si="7"/>
        <v>7</v>
      </c>
      <c r="J742" s="8">
        <f t="shared" si="8"/>
        <v>2025</v>
      </c>
      <c r="K742" s="8" t="str">
        <f t="shared" si="3"/>
        <v>2025 - 7</v>
      </c>
    </row>
    <row r="743" outlineLevel="1">
      <c r="A743" s="2">
        <v>739.0</v>
      </c>
      <c r="B743" s="3">
        <v>45852.0</v>
      </c>
      <c r="C743" s="5" t="s">
        <v>38</v>
      </c>
      <c r="D743" s="5" t="s">
        <v>10</v>
      </c>
      <c r="E743" s="6">
        <v>-5000.0</v>
      </c>
      <c r="F743" s="7">
        <f t="shared" si="4"/>
        <v>95555.02</v>
      </c>
      <c r="G743" s="5" t="s">
        <v>308</v>
      </c>
      <c r="H743" s="5"/>
      <c r="I743" s="8">
        <f t="shared" si="7"/>
        <v>7</v>
      </c>
      <c r="J743" s="8">
        <f t="shared" si="8"/>
        <v>2025</v>
      </c>
      <c r="K743" s="8" t="str">
        <f t="shared" si="3"/>
        <v>2025 - 7</v>
      </c>
    </row>
    <row r="744" outlineLevel="1">
      <c r="A744" s="2">
        <v>740.0</v>
      </c>
      <c r="B744" s="3">
        <v>45852.0</v>
      </c>
      <c r="C744" s="5" t="s">
        <v>18</v>
      </c>
      <c r="D744" s="5" t="s">
        <v>39</v>
      </c>
      <c r="E744" s="6">
        <v>-1135.0</v>
      </c>
      <c r="F744" s="7">
        <f t="shared" si="4"/>
        <v>94420.02</v>
      </c>
      <c r="G744" s="5" t="s">
        <v>304</v>
      </c>
      <c r="H744" s="5"/>
      <c r="I744" s="8">
        <f t="shared" si="7"/>
        <v>7</v>
      </c>
      <c r="J744" s="8">
        <f t="shared" si="8"/>
        <v>2025</v>
      </c>
      <c r="K744" s="8" t="str">
        <f t="shared" si="3"/>
        <v>2025 - 7</v>
      </c>
    </row>
    <row r="745" outlineLevel="1">
      <c r="A745" s="2">
        <v>741.0</v>
      </c>
      <c r="B745" s="3">
        <v>45853.0</v>
      </c>
      <c r="C745" s="5" t="s">
        <v>16</v>
      </c>
      <c r="D745" s="5" t="s">
        <v>10</v>
      </c>
      <c r="E745" s="6">
        <v>-892.0</v>
      </c>
      <c r="F745" s="7">
        <f t="shared" si="4"/>
        <v>93528.02</v>
      </c>
      <c r="G745" s="5" t="s">
        <v>163</v>
      </c>
      <c r="H745" s="5"/>
      <c r="I745" s="8">
        <f t="shared" si="7"/>
        <v>7</v>
      </c>
      <c r="J745" s="8">
        <f t="shared" si="8"/>
        <v>2025</v>
      </c>
      <c r="K745" s="8" t="str">
        <f t="shared" si="3"/>
        <v>2025 - 7</v>
      </c>
    </row>
    <row r="746" outlineLevel="1">
      <c r="A746" s="2">
        <v>742.0</v>
      </c>
      <c r="B746" s="3">
        <v>45853.0</v>
      </c>
      <c r="C746" s="5" t="s">
        <v>49</v>
      </c>
      <c r="D746" s="5" t="s">
        <v>10</v>
      </c>
      <c r="E746" s="6">
        <v>-649.0</v>
      </c>
      <c r="F746" s="7">
        <f t="shared" si="4"/>
        <v>92879.02</v>
      </c>
      <c r="G746" s="5" t="s">
        <v>309</v>
      </c>
      <c r="H746" s="5"/>
      <c r="I746" s="8">
        <f t="shared" si="7"/>
        <v>7</v>
      </c>
      <c r="J746" s="8">
        <f t="shared" si="8"/>
        <v>2025</v>
      </c>
      <c r="K746" s="8" t="str">
        <f t="shared" si="3"/>
        <v>2025 - 7</v>
      </c>
    </row>
    <row r="747" outlineLevel="1">
      <c r="A747" s="2">
        <v>743.0</v>
      </c>
      <c r="B747" s="3">
        <v>45853.0</v>
      </c>
      <c r="C747" s="5" t="s">
        <v>49</v>
      </c>
      <c r="D747" s="5" t="s">
        <v>10</v>
      </c>
      <c r="E747" s="6">
        <v>-1924.46</v>
      </c>
      <c r="F747" s="7">
        <f t="shared" si="4"/>
        <v>90954.56</v>
      </c>
      <c r="G747" s="5" t="s">
        <v>110</v>
      </c>
      <c r="H747" s="5"/>
      <c r="I747" s="8">
        <f t="shared" si="7"/>
        <v>7</v>
      </c>
      <c r="J747" s="8">
        <f t="shared" si="8"/>
        <v>2025</v>
      </c>
      <c r="K747" s="8" t="str">
        <f t="shared" si="3"/>
        <v>2025 - 7</v>
      </c>
    </row>
    <row r="748" outlineLevel="1">
      <c r="A748" s="2">
        <v>744.0</v>
      </c>
      <c r="B748" s="3">
        <v>45853.0</v>
      </c>
      <c r="C748" s="5" t="s">
        <v>18</v>
      </c>
      <c r="D748" s="5" t="s">
        <v>39</v>
      </c>
      <c r="E748" s="6">
        <v>-420.25</v>
      </c>
      <c r="F748" s="7">
        <f t="shared" si="4"/>
        <v>90534.31</v>
      </c>
      <c r="G748" s="5" t="s">
        <v>234</v>
      </c>
      <c r="H748" s="5"/>
      <c r="I748" s="8">
        <f t="shared" si="7"/>
        <v>7</v>
      </c>
      <c r="J748" s="8">
        <f t="shared" si="8"/>
        <v>2025</v>
      </c>
      <c r="K748" s="8" t="str">
        <f t="shared" si="3"/>
        <v>2025 - 7</v>
      </c>
    </row>
    <row r="749" outlineLevel="1">
      <c r="A749" s="2">
        <v>745.0</v>
      </c>
      <c r="B749" s="3">
        <v>45854.0</v>
      </c>
      <c r="C749" s="5" t="s">
        <v>18</v>
      </c>
      <c r="D749" s="5" t="s">
        <v>39</v>
      </c>
      <c r="E749" s="6">
        <v>-741.0</v>
      </c>
      <c r="F749" s="7">
        <f t="shared" si="4"/>
        <v>89793.31</v>
      </c>
      <c r="G749" s="5" t="s">
        <v>288</v>
      </c>
      <c r="H749" s="5"/>
      <c r="I749" s="8">
        <f t="shared" si="7"/>
        <v>7</v>
      </c>
      <c r="J749" s="8">
        <f t="shared" si="8"/>
        <v>2025</v>
      </c>
      <c r="K749" s="8" t="str">
        <f t="shared" si="3"/>
        <v>2025 - 7</v>
      </c>
    </row>
    <row r="750" outlineLevel="1">
      <c r="A750" s="2">
        <v>746.0</v>
      </c>
      <c r="B750" s="3">
        <v>45855.0</v>
      </c>
      <c r="C750" s="5" t="s">
        <v>18</v>
      </c>
      <c r="D750" s="5" t="s">
        <v>39</v>
      </c>
      <c r="E750" s="6">
        <v>-380.0</v>
      </c>
      <c r="F750" s="7">
        <f t="shared" si="4"/>
        <v>89413.31</v>
      </c>
      <c r="G750" s="5" t="s">
        <v>310</v>
      </c>
      <c r="H750" s="5"/>
      <c r="I750" s="8">
        <f t="shared" si="7"/>
        <v>7</v>
      </c>
      <c r="J750" s="8">
        <f t="shared" si="8"/>
        <v>2025</v>
      </c>
      <c r="K750" s="8" t="str">
        <f t="shared" si="3"/>
        <v>2025 - 7</v>
      </c>
    </row>
    <row r="751" outlineLevel="1">
      <c r="A751" s="2">
        <v>747.0</v>
      </c>
      <c r="B751" s="3">
        <v>45855.0</v>
      </c>
      <c r="C751" s="5" t="s">
        <v>18</v>
      </c>
      <c r="D751" s="5" t="s">
        <v>39</v>
      </c>
      <c r="E751" s="6">
        <v>-185.0</v>
      </c>
      <c r="F751" s="7">
        <f t="shared" si="4"/>
        <v>89228.31</v>
      </c>
      <c r="G751" s="5" t="s">
        <v>310</v>
      </c>
      <c r="H751" s="5"/>
      <c r="I751" s="8">
        <f t="shared" si="7"/>
        <v>7</v>
      </c>
      <c r="J751" s="8">
        <f t="shared" si="8"/>
        <v>2025</v>
      </c>
      <c r="K751" s="8" t="str">
        <f t="shared" si="3"/>
        <v>2025 - 7</v>
      </c>
    </row>
    <row r="752" outlineLevel="1">
      <c r="A752" s="2">
        <v>748.0</v>
      </c>
      <c r="B752" s="3">
        <v>45855.0</v>
      </c>
      <c r="C752" s="5" t="s">
        <v>18</v>
      </c>
      <c r="D752" s="5" t="s">
        <v>39</v>
      </c>
      <c r="E752" s="6">
        <v>-1600.4</v>
      </c>
      <c r="F752" s="7">
        <f t="shared" si="4"/>
        <v>87627.91</v>
      </c>
      <c r="G752" s="5" t="s">
        <v>234</v>
      </c>
      <c r="H752" s="5"/>
      <c r="I752" s="8">
        <f t="shared" si="7"/>
        <v>7</v>
      </c>
      <c r="J752" s="8">
        <f t="shared" si="8"/>
        <v>2025</v>
      </c>
      <c r="K752" s="8" t="str">
        <f t="shared" si="3"/>
        <v>2025 - 7</v>
      </c>
    </row>
    <row r="753" outlineLevel="1">
      <c r="A753" s="2">
        <v>749.0</v>
      </c>
      <c r="B753" s="3">
        <v>45855.0</v>
      </c>
      <c r="C753" s="5" t="s">
        <v>18</v>
      </c>
      <c r="D753" s="5" t="s">
        <v>10</v>
      </c>
      <c r="E753" s="6">
        <v>-195.0</v>
      </c>
      <c r="F753" s="7">
        <f t="shared" si="4"/>
        <v>87432.91</v>
      </c>
      <c r="G753" s="5" t="s">
        <v>299</v>
      </c>
      <c r="H753" s="5"/>
      <c r="I753" s="8">
        <f t="shared" si="7"/>
        <v>7</v>
      </c>
      <c r="J753" s="8">
        <f t="shared" si="8"/>
        <v>2025</v>
      </c>
      <c r="K753" s="8" t="str">
        <f t="shared" si="3"/>
        <v>2025 - 7</v>
      </c>
    </row>
    <row r="754" outlineLevel="1">
      <c r="A754" s="2">
        <v>750.0</v>
      </c>
      <c r="B754" s="3">
        <v>45855.0</v>
      </c>
      <c r="C754" s="5" t="s">
        <v>18</v>
      </c>
      <c r="D754" s="5" t="s">
        <v>10</v>
      </c>
      <c r="E754" s="6">
        <v>-100.0</v>
      </c>
      <c r="F754" s="7">
        <f t="shared" si="4"/>
        <v>87332.91</v>
      </c>
      <c r="G754" s="5" t="s">
        <v>234</v>
      </c>
      <c r="H754" s="5"/>
      <c r="I754" s="8">
        <f t="shared" si="7"/>
        <v>7</v>
      </c>
      <c r="J754" s="8">
        <f t="shared" si="8"/>
        <v>2025</v>
      </c>
      <c r="K754" s="8" t="str">
        <f t="shared" si="3"/>
        <v>2025 - 7</v>
      </c>
    </row>
    <row r="755" outlineLevel="1">
      <c r="A755" s="2">
        <v>751.0</v>
      </c>
      <c r="B755" s="3">
        <v>45856.0</v>
      </c>
      <c r="C755" s="5" t="s">
        <v>18</v>
      </c>
      <c r="D755" s="5" t="s">
        <v>10</v>
      </c>
      <c r="E755" s="6">
        <v>-398.0</v>
      </c>
      <c r="F755" s="7">
        <f t="shared" si="4"/>
        <v>86934.91</v>
      </c>
      <c r="G755" s="5" t="s">
        <v>288</v>
      </c>
      <c r="H755" s="5"/>
      <c r="I755" s="8">
        <f t="shared" si="7"/>
        <v>7</v>
      </c>
      <c r="J755" s="8">
        <f t="shared" si="8"/>
        <v>2025</v>
      </c>
      <c r="K755" s="8" t="str">
        <f t="shared" si="3"/>
        <v>2025 - 7</v>
      </c>
    </row>
    <row r="756" outlineLevel="1">
      <c r="A756" s="2">
        <v>752.0</v>
      </c>
      <c r="B756" s="3">
        <v>45856.0</v>
      </c>
      <c r="C756" s="5" t="s">
        <v>9</v>
      </c>
      <c r="D756" s="5" t="s">
        <v>10</v>
      </c>
      <c r="E756" s="6">
        <v>-94.0</v>
      </c>
      <c r="F756" s="7">
        <f t="shared" si="4"/>
        <v>86840.91</v>
      </c>
      <c r="G756" s="5"/>
      <c r="H756" s="5"/>
      <c r="I756" s="8">
        <f t="shared" si="7"/>
        <v>7</v>
      </c>
      <c r="J756" s="8">
        <f t="shared" si="8"/>
        <v>2025</v>
      </c>
      <c r="K756" s="8" t="str">
        <f t="shared" si="3"/>
        <v>2025 - 7</v>
      </c>
    </row>
    <row r="757" outlineLevel="1">
      <c r="A757" s="2">
        <v>753.0</v>
      </c>
      <c r="B757" s="3">
        <v>45857.0</v>
      </c>
      <c r="C757" s="5" t="s">
        <v>38</v>
      </c>
      <c r="D757" s="5" t="s">
        <v>39</v>
      </c>
      <c r="E757" s="6">
        <v>-888.56</v>
      </c>
      <c r="F757" s="7">
        <f t="shared" si="4"/>
        <v>85952.35</v>
      </c>
      <c r="G757" s="5" t="s">
        <v>114</v>
      </c>
      <c r="H757" s="5"/>
      <c r="I757" s="8">
        <f t="shared" si="7"/>
        <v>7</v>
      </c>
      <c r="J757" s="8">
        <f t="shared" si="8"/>
        <v>2025</v>
      </c>
      <c r="K757" s="8" t="str">
        <f t="shared" si="3"/>
        <v>2025 - 7</v>
      </c>
    </row>
    <row r="758" outlineLevel="1">
      <c r="A758" s="2">
        <v>754.0</v>
      </c>
      <c r="B758" s="3">
        <v>45857.0</v>
      </c>
      <c r="C758" s="5" t="s">
        <v>24</v>
      </c>
      <c r="D758" s="5" t="s">
        <v>10</v>
      </c>
      <c r="E758" s="6">
        <v>585.0</v>
      </c>
      <c r="F758" s="7">
        <f t="shared" si="4"/>
        <v>86537.35</v>
      </c>
      <c r="G758" s="5"/>
      <c r="H758" s="5"/>
      <c r="I758" s="8">
        <f t="shared" si="7"/>
        <v>7</v>
      </c>
      <c r="J758" s="8">
        <f t="shared" si="8"/>
        <v>2025</v>
      </c>
      <c r="K758" s="8" t="str">
        <f t="shared" si="3"/>
        <v>2025 - 7</v>
      </c>
    </row>
    <row r="759" outlineLevel="1">
      <c r="A759" s="2">
        <v>755.0</v>
      </c>
      <c r="B759" s="3">
        <v>45857.0</v>
      </c>
      <c r="C759" s="5" t="s">
        <v>38</v>
      </c>
      <c r="D759" s="5" t="s">
        <v>39</v>
      </c>
      <c r="E759" s="6">
        <v>-885.36</v>
      </c>
      <c r="F759" s="7">
        <f t="shared" si="4"/>
        <v>85651.99</v>
      </c>
      <c r="G759" s="5" t="s">
        <v>114</v>
      </c>
      <c r="H759" s="5"/>
      <c r="I759" s="8">
        <f t="shared" si="7"/>
        <v>7</v>
      </c>
      <c r="J759" s="8">
        <f t="shared" si="8"/>
        <v>2025</v>
      </c>
      <c r="K759" s="8" t="str">
        <f t="shared" si="3"/>
        <v>2025 - 7</v>
      </c>
    </row>
    <row r="760" outlineLevel="1">
      <c r="A760" s="2">
        <v>756.0</v>
      </c>
      <c r="B760" s="3">
        <v>45859.0</v>
      </c>
      <c r="C760" s="5" t="s">
        <v>105</v>
      </c>
      <c r="D760" s="5" t="s">
        <v>10</v>
      </c>
      <c r="E760" s="6">
        <v>3500.0</v>
      </c>
      <c r="F760" s="7">
        <f t="shared" si="4"/>
        <v>89151.99</v>
      </c>
      <c r="G760" s="5" t="s">
        <v>292</v>
      </c>
      <c r="H760" s="5"/>
      <c r="I760" s="8">
        <f t="shared" si="7"/>
        <v>7</v>
      </c>
      <c r="J760" s="8">
        <f t="shared" si="8"/>
        <v>2025</v>
      </c>
      <c r="K760" s="8" t="str">
        <f t="shared" si="3"/>
        <v>2025 - 7</v>
      </c>
    </row>
    <row r="761" outlineLevel="1">
      <c r="A761" s="2">
        <v>757.0</v>
      </c>
      <c r="B761" s="3">
        <v>45859.0</v>
      </c>
      <c r="C761" s="5" t="s">
        <v>18</v>
      </c>
      <c r="D761" s="5" t="s">
        <v>10</v>
      </c>
      <c r="E761" s="6">
        <v>-68.0</v>
      </c>
      <c r="F761" s="7">
        <f t="shared" si="4"/>
        <v>89083.99</v>
      </c>
      <c r="G761" s="5" t="s">
        <v>282</v>
      </c>
      <c r="H761" s="5"/>
      <c r="I761" s="8">
        <f t="shared" si="7"/>
        <v>7</v>
      </c>
      <c r="J761" s="8">
        <f t="shared" si="8"/>
        <v>2025</v>
      </c>
      <c r="K761" s="8" t="str">
        <f t="shared" si="3"/>
        <v>2025 - 7</v>
      </c>
    </row>
    <row r="762" outlineLevel="1">
      <c r="A762" s="2">
        <v>758.0</v>
      </c>
      <c r="B762" s="3">
        <v>45859.0</v>
      </c>
      <c r="C762" s="5" t="s">
        <v>18</v>
      </c>
      <c r="D762" s="5" t="s">
        <v>39</v>
      </c>
      <c r="E762" s="6">
        <v>-546.45</v>
      </c>
      <c r="F762" s="7">
        <f t="shared" si="4"/>
        <v>88537.54</v>
      </c>
      <c r="G762" s="5" t="s">
        <v>234</v>
      </c>
      <c r="H762" s="5"/>
      <c r="I762" s="8">
        <f t="shared" si="7"/>
        <v>7</v>
      </c>
      <c r="J762" s="8">
        <f t="shared" si="8"/>
        <v>2025</v>
      </c>
      <c r="K762" s="8" t="str">
        <f t="shared" si="3"/>
        <v>2025 - 7</v>
      </c>
    </row>
    <row r="763" outlineLevel="1">
      <c r="A763" s="2">
        <v>759.0</v>
      </c>
      <c r="B763" s="3">
        <v>45859.0</v>
      </c>
      <c r="C763" s="5" t="s">
        <v>18</v>
      </c>
      <c r="D763" s="5" t="s">
        <v>39</v>
      </c>
      <c r="E763" s="6">
        <v>-1903.0</v>
      </c>
      <c r="F763" s="7">
        <f t="shared" si="4"/>
        <v>86634.54</v>
      </c>
      <c r="G763" s="5" t="s">
        <v>238</v>
      </c>
      <c r="H763" s="5"/>
      <c r="I763" s="8">
        <f t="shared" si="7"/>
        <v>7</v>
      </c>
      <c r="J763" s="8">
        <f t="shared" si="8"/>
        <v>2025</v>
      </c>
      <c r="K763" s="8" t="str">
        <f t="shared" si="3"/>
        <v>2025 - 7</v>
      </c>
    </row>
    <row r="764" outlineLevel="1">
      <c r="A764" s="2">
        <v>760.0</v>
      </c>
      <c r="B764" s="3">
        <v>45859.0</v>
      </c>
      <c r="C764" s="5" t="s">
        <v>16</v>
      </c>
      <c r="D764" s="5" t="s">
        <v>10</v>
      </c>
      <c r="E764" s="6">
        <v>-213.0</v>
      </c>
      <c r="F764" s="7">
        <f t="shared" si="4"/>
        <v>86421.54</v>
      </c>
      <c r="G764" s="5" t="s">
        <v>240</v>
      </c>
      <c r="H764" s="5"/>
      <c r="I764" s="8">
        <f t="shared" si="7"/>
        <v>7</v>
      </c>
      <c r="J764" s="8">
        <f t="shared" si="8"/>
        <v>2025</v>
      </c>
      <c r="K764" s="8" t="str">
        <f t="shared" si="3"/>
        <v>2025 - 7</v>
      </c>
    </row>
    <row r="765" outlineLevel="1">
      <c r="A765" s="2">
        <v>761.0</v>
      </c>
      <c r="B765" s="3">
        <v>45860.0</v>
      </c>
      <c r="C765" s="5" t="s">
        <v>18</v>
      </c>
      <c r="D765" s="5" t="s">
        <v>10</v>
      </c>
      <c r="E765" s="6">
        <v>-210.0</v>
      </c>
      <c r="F765" s="7">
        <f t="shared" si="4"/>
        <v>86211.54</v>
      </c>
      <c r="G765" s="6" t="s">
        <v>301</v>
      </c>
      <c r="H765" s="5"/>
      <c r="I765" s="8">
        <f t="shared" si="7"/>
        <v>7</v>
      </c>
      <c r="J765" s="8">
        <f t="shared" si="8"/>
        <v>2025</v>
      </c>
      <c r="K765" s="8" t="str">
        <f t="shared" si="3"/>
        <v>2025 - 7</v>
      </c>
    </row>
    <row r="766" outlineLevel="1">
      <c r="A766" s="2">
        <v>762.0</v>
      </c>
      <c r="B766" s="3">
        <v>45860.0</v>
      </c>
      <c r="C766" s="5" t="s">
        <v>18</v>
      </c>
      <c r="D766" s="5" t="s">
        <v>10</v>
      </c>
      <c r="E766" s="6">
        <v>-90.0</v>
      </c>
      <c r="F766" s="7">
        <f t="shared" si="4"/>
        <v>86121.54</v>
      </c>
      <c r="G766" s="5" t="s">
        <v>302</v>
      </c>
      <c r="H766" s="5"/>
      <c r="I766" s="8">
        <f t="shared" si="7"/>
        <v>7</v>
      </c>
      <c r="J766" s="8">
        <f t="shared" si="8"/>
        <v>2025</v>
      </c>
      <c r="K766" s="8" t="str">
        <f t="shared" si="3"/>
        <v>2025 - 7</v>
      </c>
    </row>
    <row r="767" outlineLevel="1">
      <c r="A767" s="2">
        <v>763.0</v>
      </c>
      <c r="B767" s="3">
        <v>45860.0</v>
      </c>
      <c r="C767" s="5" t="s">
        <v>16</v>
      </c>
      <c r="D767" s="5" t="s">
        <v>10</v>
      </c>
      <c r="E767" s="6">
        <v>-32.0</v>
      </c>
      <c r="F767" s="7">
        <f t="shared" si="4"/>
        <v>86089.54</v>
      </c>
      <c r="G767" s="5" t="s">
        <v>281</v>
      </c>
      <c r="H767" s="5"/>
      <c r="I767" s="8">
        <f t="shared" si="7"/>
        <v>7</v>
      </c>
      <c r="J767" s="8">
        <f t="shared" si="8"/>
        <v>2025</v>
      </c>
      <c r="K767" s="8" t="str">
        <f t="shared" si="3"/>
        <v>2025 - 7</v>
      </c>
    </row>
    <row r="768" outlineLevel="1">
      <c r="A768" s="2">
        <v>764.0</v>
      </c>
      <c r="B768" s="3">
        <v>45860.0</v>
      </c>
      <c r="C768" s="5" t="s">
        <v>38</v>
      </c>
      <c r="D768" s="5" t="s">
        <v>10</v>
      </c>
      <c r="E768" s="6">
        <v>-1037.0</v>
      </c>
      <c r="F768" s="7">
        <f t="shared" si="4"/>
        <v>85052.54</v>
      </c>
      <c r="G768" s="5" t="s">
        <v>308</v>
      </c>
      <c r="H768" s="5"/>
      <c r="I768" s="8">
        <f t="shared" si="7"/>
        <v>7</v>
      </c>
      <c r="J768" s="8">
        <f t="shared" si="8"/>
        <v>2025</v>
      </c>
      <c r="K768" s="8" t="str">
        <f t="shared" si="3"/>
        <v>2025 - 7</v>
      </c>
    </row>
    <row r="769" outlineLevel="1">
      <c r="A769" s="2">
        <v>765.0</v>
      </c>
      <c r="B769" s="3">
        <v>45861.0</v>
      </c>
      <c r="C769" s="5" t="s">
        <v>18</v>
      </c>
      <c r="D769" s="5" t="s">
        <v>39</v>
      </c>
      <c r="E769" s="6">
        <v>-646.0</v>
      </c>
      <c r="F769" s="7">
        <f t="shared" si="4"/>
        <v>84406.54</v>
      </c>
      <c r="G769" s="5" t="s">
        <v>282</v>
      </c>
      <c r="H769" s="5"/>
      <c r="I769" s="8">
        <f t="shared" si="7"/>
        <v>7</v>
      </c>
      <c r="J769" s="8">
        <f t="shared" si="8"/>
        <v>2025</v>
      </c>
      <c r="K769" s="8" t="str">
        <f t="shared" si="3"/>
        <v>2025 - 7</v>
      </c>
    </row>
    <row r="770" outlineLevel="1">
      <c r="A770" s="2">
        <v>766.0</v>
      </c>
      <c r="B770" s="3">
        <v>45861.0</v>
      </c>
      <c r="C770" s="5" t="s">
        <v>24</v>
      </c>
      <c r="D770" s="5" t="s">
        <v>10</v>
      </c>
      <c r="E770" s="6">
        <v>90.0</v>
      </c>
      <c r="F770" s="7">
        <f t="shared" si="4"/>
        <v>84496.54</v>
      </c>
      <c r="G770" s="5" t="s">
        <v>292</v>
      </c>
      <c r="H770" s="5"/>
      <c r="I770" s="8">
        <f t="shared" si="7"/>
        <v>7</v>
      </c>
      <c r="J770" s="8">
        <f t="shared" si="8"/>
        <v>2025</v>
      </c>
      <c r="K770" s="8" t="str">
        <f t="shared" si="3"/>
        <v>2025 - 7</v>
      </c>
    </row>
    <row r="771" outlineLevel="1">
      <c r="A771" s="2">
        <v>767.0</v>
      </c>
      <c r="B771" s="3">
        <v>45861.0</v>
      </c>
      <c r="C771" s="5" t="s">
        <v>24</v>
      </c>
      <c r="D771" s="5" t="s">
        <v>10</v>
      </c>
      <c r="E771" s="6">
        <v>6.0</v>
      </c>
      <c r="F771" s="7">
        <f t="shared" si="4"/>
        <v>84502.54</v>
      </c>
      <c r="G771" s="5" t="s">
        <v>296</v>
      </c>
      <c r="H771" s="5"/>
      <c r="I771" s="8">
        <f t="shared" si="7"/>
        <v>7</v>
      </c>
      <c r="J771" s="8">
        <f t="shared" si="8"/>
        <v>2025</v>
      </c>
      <c r="K771" s="8" t="str">
        <f t="shared" si="3"/>
        <v>2025 - 7</v>
      </c>
    </row>
    <row r="772" outlineLevel="1">
      <c r="A772" s="2">
        <v>768.0</v>
      </c>
      <c r="B772" s="3">
        <v>45861.0</v>
      </c>
      <c r="C772" s="5" t="s">
        <v>24</v>
      </c>
      <c r="D772" s="5" t="s">
        <v>10</v>
      </c>
      <c r="E772" s="6">
        <v>90.0</v>
      </c>
      <c r="F772" s="7">
        <f t="shared" si="4"/>
        <v>84592.54</v>
      </c>
      <c r="G772" s="5" t="s">
        <v>289</v>
      </c>
      <c r="H772" s="5"/>
      <c r="I772" s="8">
        <f t="shared" si="7"/>
        <v>7</v>
      </c>
      <c r="J772" s="8">
        <f t="shared" si="8"/>
        <v>2025</v>
      </c>
      <c r="K772" s="8" t="str">
        <f t="shared" si="3"/>
        <v>2025 - 7</v>
      </c>
    </row>
    <row r="773" outlineLevel="1">
      <c r="A773" s="2">
        <v>769.0</v>
      </c>
      <c r="B773" s="3">
        <v>45861.0</v>
      </c>
      <c r="C773" s="5" t="s">
        <v>18</v>
      </c>
      <c r="D773" s="5" t="s">
        <v>39</v>
      </c>
      <c r="E773" s="6">
        <v>-460.0</v>
      </c>
      <c r="F773" s="7">
        <f t="shared" si="4"/>
        <v>84132.54</v>
      </c>
      <c r="G773" s="5" t="s">
        <v>311</v>
      </c>
      <c r="H773" s="5"/>
      <c r="I773" s="8">
        <f t="shared" si="7"/>
        <v>7</v>
      </c>
      <c r="J773" s="8">
        <f t="shared" si="8"/>
        <v>2025</v>
      </c>
      <c r="K773" s="8" t="str">
        <f t="shared" si="3"/>
        <v>2025 - 7</v>
      </c>
    </row>
    <row r="774" outlineLevel="1">
      <c r="A774" s="2">
        <v>770.0</v>
      </c>
      <c r="B774" s="3">
        <v>45862.0</v>
      </c>
      <c r="C774" s="5" t="s">
        <v>35</v>
      </c>
      <c r="D774" s="5" t="s">
        <v>10</v>
      </c>
      <c r="E774" s="6">
        <v>-30000.0</v>
      </c>
      <c r="F774" s="7">
        <f t="shared" si="4"/>
        <v>54132.54</v>
      </c>
      <c r="G774" s="5" t="s">
        <v>36</v>
      </c>
      <c r="H774" s="5"/>
      <c r="I774" s="8">
        <f t="shared" si="7"/>
        <v>7</v>
      </c>
      <c r="J774" s="8">
        <f t="shared" si="8"/>
        <v>2025</v>
      </c>
      <c r="K774" s="8" t="str">
        <f t="shared" si="3"/>
        <v>2025 - 7</v>
      </c>
    </row>
    <row r="775" outlineLevel="1">
      <c r="A775" s="2">
        <v>771.0</v>
      </c>
      <c r="B775" s="3">
        <v>45862.0</v>
      </c>
      <c r="C775" s="5" t="s">
        <v>24</v>
      </c>
      <c r="D775" s="5" t="s">
        <v>10</v>
      </c>
      <c r="E775" s="6">
        <v>90.0</v>
      </c>
      <c r="F775" s="7">
        <f t="shared" si="4"/>
        <v>54222.54</v>
      </c>
      <c r="G775" s="5" t="s">
        <v>312</v>
      </c>
      <c r="H775" s="5"/>
      <c r="I775" s="8">
        <f t="shared" si="7"/>
        <v>7</v>
      </c>
      <c r="J775" s="8">
        <f t="shared" si="8"/>
        <v>2025</v>
      </c>
      <c r="K775" s="8" t="str">
        <f t="shared" si="3"/>
        <v>2025 - 7</v>
      </c>
    </row>
    <row r="776" outlineLevel="1">
      <c r="A776" s="2">
        <v>772.0</v>
      </c>
      <c r="B776" s="3">
        <v>45862.0</v>
      </c>
      <c r="C776" s="5" t="s">
        <v>18</v>
      </c>
      <c r="D776" s="5" t="s">
        <v>39</v>
      </c>
      <c r="E776" s="6">
        <v>-786.0</v>
      </c>
      <c r="F776" s="7">
        <f t="shared" si="4"/>
        <v>53436.54</v>
      </c>
      <c r="G776" s="5" t="s">
        <v>282</v>
      </c>
      <c r="H776" s="5"/>
      <c r="I776" s="8">
        <f t="shared" si="7"/>
        <v>7</v>
      </c>
      <c r="J776" s="8">
        <f t="shared" si="8"/>
        <v>2025</v>
      </c>
      <c r="K776" s="8" t="str">
        <f t="shared" si="3"/>
        <v>2025 - 7</v>
      </c>
    </row>
    <row r="777" outlineLevel="1">
      <c r="A777" s="2">
        <v>773.0</v>
      </c>
      <c r="B777" s="3">
        <v>45863.0</v>
      </c>
      <c r="C777" s="5" t="s">
        <v>12</v>
      </c>
      <c r="D777" s="5" t="s">
        <v>10</v>
      </c>
      <c r="E777" s="6">
        <v>-5000.0</v>
      </c>
      <c r="F777" s="7">
        <f t="shared" si="4"/>
        <v>48436.54</v>
      </c>
      <c r="G777" s="5" t="s">
        <v>70</v>
      </c>
      <c r="H777" s="5"/>
      <c r="I777" s="8">
        <f t="shared" si="7"/>
        <v>7</v>
      </c>
      <c r="J777" s="8">
        <f t="shared" si="8"/>
        <v>2025</v>
      </c>
      <c r="K777" s="8" t="str">
        <f t="shared" si="3"/>
        <v>2025 - 7</v>
      </c>
    </row>
    <row r="778" outlineLevel="1">
      <c r="A778" s="2">
        <v>774.0</v>
      </c>
      <c r="B778" s="3">
        <v>45863.0</v>
      </c>
      <c r="C778" s="5" t="s">
        <v>24</v>
      </c>
      <c r="D778" s="5" t="s">
        <v>10</v>
      </c>
      <c r="E778" s="6">
        <v>190.0</v>
      </c>
      <c r="F778" s="7">
        <f t="shared" si="4"/>
        <v>48626.54</v>
      </c>
      <c r="G778" s="5" t="s">
        <v>289</v>
      </c>
      <c r="H778" s="5"/>
      <c r="I778" s="8">
        <f t="shared" si="7"/>
        <v>7</v>
      </c>
      <c r="J778" s="8">
        <f t="shared" si="8"/>
        <v>2025</v>
      </c>
      <c r="K778" s="8" t="str">
        <f t="shared" si="3"/>
        <v>2025 - 7</v>
      </c>
    </row>
    <row r="779" outlineLevel="1">
      <c r="A779" s="2">
        <v>775.0</v>
      </c>
      <c r="B779" s="3">
        <v>45863.0</v>
      </c>
      <c r="C779" s="5" t="s">
        <v>24</v>
      </c>
      <c r="D779" s="5" t="s">
        <v>10</v>
      </c>
      <c r="E779" s="6">
        <v>90.0</v>
      </c>
      <c r="F779" s="7">
        <f t="shared" si="4"/>
        <v>48716.54</v>
      </c>
      <c r="G779" s="5" t="s">
        <v>312</v>
      </c>
      <c r="H779" s="5"/>
      <c r="I779" s="8">
        <f t="shared" si="7"/>
        <v>7</v>
      </c>
      <c r="J779" s="8">
        <f t="shared" si="8"/>
        <v>2025</v>
      </c>
      <c r="K779" s="8" t="str">
        <f t="shared" si="3"/>
        <v>2025 - 7</v>
      </c>
    </row>
    <row r="780" outlineLevel="1">
      <c r="A780" s="2">
        <v>776.0</v>
      </c>
      <c r="B780" s="3">
        <v>45863.0</v>
      </c>
      <c r="C780" s="5" t="s">
        <v>18</v>
      </c>
      <c r="D780" s="5" t="s">
        <v>39</v>
      </c>
      <c r="E780" s="6">
        <v>-580.0</v>
      </c>
      <c r="F780" s="7">
        <f t="shared" si="4"/>
        <v>48136.54</v>
      </c>
      <c r="G780" s="5" t="s">
        <v>238</v>
      </c>
      <c r="H780" s="5"/>
      <c r="I780" s="8">
        <f t="shared" si="7"/>
        <v>7</v>
      </c>
      <c r="J780" s="8">
        <f t="shared" si="8"/>
        <v>2025</v>
      </c>
      <c r="K780" s="8" t="str">
        <f t="shared" si="3"/>
        <v>2025 - 7</v>
      </c>
    </row>
    <row r="781" outlineLevel="1">
      <c r="A781" s="2">
        <v>777.0</v>
      </c>
      <c r="B781" s="3">
        <v>45863.0</v>
      </c>
      <c r="C781" s="5" t="s">
        <v>24</v>
      </c>
      <c r="D781" s="5" t="s">
        <v>10</v>
      </c>
      <c r="E781" s="6">
        <v>110.0</v>
      </c>
      <c r="F781" s="7">
        <f t="shared" si="4"/>
        <v>48246.54</v>
      </c>
      <c r="G781" s="5"/>
      <c r="H781" s="5"/>
      <c r="I781" s="8">
        <f t="shared" si="7"/>
        <v>7</v>
      </c>
      <c r="J781" s="8">
        <f t="shared" si="8"/>
        <v>2025</v>
      </c>
      <c r="K781" s="8" t="str">
        <f t="shared" si="3"/>
        <v>2025 - 7</v>
      </c>
    </row>
    <row r="782" outlineLevel="1">
      <c r="A782" s="2">
        <v>778.0</v>
      </c>
      <c r="B782" s="3">
        <v>45863.0</v>
      </c>
      <c r="C782" s="5" t="s">
        <v>9</v>
      </c>
      <c r="D782" s="5" t="s">
        <v>10</v>
      </c>
      <c r="E782" s="6">
        <v>-30.0</v>
      </c>
      <c r="F782" s="7">
        <f t="shared" si="4"/>
        <v>48216.54</v>
      </c>
      <c r="G782" s="5"/>
      <c r="H782" s="5"/>
      <c r="I782" s="8">
        <f t="shared" si="7"/>
        <v>7</v>
      </c>
      <c r="J782" s="8">
        <f t="shared" si="8"/>
        <v>2025</v>
      </c>
      <c r="K782" s="8" t="str">
        <f t="shared" si="3"/>
        <v>2025 - 7</v>
      </c>
    </row>
    <row r="783" outlineLevel="1">
      <c r="A783" s="2">
        <v>779.0</v>
      </c>
      <c r="B783" s="3">
        <v>45864.0</v>
      </c>
      <c r="C783" s="5" t="s">
        <v>31</v>
      </c>
      <c r="D783" s="5" t="s">
        <v>10</v>
      </c>
      <c r="E783" s="6">
        <v>-250.0</v>
      </c>
      <c r="F783" s="7">
        <f t="shared" si="4"/>
        <v>47966.54</v>
      </c>
      <c r="G783" s="5" t="s">
        <v>32</v>
      </c>
      <c r="H783" s="5"/>
      <c r="I783" s="8">
        <f t="shared" si="7"/>
        <v>7</v>
      </c>
      <c r="J783" s="8">
        <f t="shared" si="8"/>
        <v>2025</v>
      </c>
      <c r="K783" s="8" t="str">
        <f t="shared" si="3"/>
        <v>2025 - 7</v>
      </c>
    </row>
    <row r="784" outlineLevel="1">
      <c r="A784" s="2">
        <v>780.0</v>
      </c>
      <c r="B784" s="3">
        <v>45864.0</v>
      </c>
      <c r="C784" s="5" t="s">
        <v>49</v>
      </c>
      <c r="D784" s="5" t="s">
        <v>10</v>
      </c>
      <c r="E784" s="6">
        <v>-299.0</v>
      </c>
      <c r="F784" s="7">
        <f t="shared" si="4"/>
        <v>47667.54</v>
      </c>
      <c r="G784" s="5" t="s">
        <v>118</v>
      </c>
      <c r="H784" s="5"/>
      <c r="I784" s="8">
        <f t="shared" si="7"/>
        <v>7</v>
      </c>
      <c r="J784" s="8">
        <f t="shared" si="8"/>
        <v>2025</v>
      </c>
      <c r="K784" s="8" t="str">
        <f t="shared" si="3"/>
        <v>2025 - 7</v>
      </c>
    </row>
    <row r="785" outlineLevel="1">
      <c r="A785" s="2">
        <v>781.0</v>
      </c>
      <c r="B785" s="3">
        <v>45864.0</v>
      </c>
      <c r="C785" s="5" t="s">
        <v>18</v>
      </c>
      <c r="D785" s="5" t="s">
        <v>10</v>
      </c>
      <c r="E785" s="6">
        <v>-522.0</v>
      </c>
      <c r="F785" s="7">
        <f t="shared" si="4"/>
        <v>47145.54</v>
      </c>
      <c r="G785" s="5"/>
      <c r="H785" s="5"/>
      <c r="I785" s="8">
        <f t="shared" si="7"/>
        <v>7</v>
      </c>
      <c r="J785" s="8">
        <f t="shared" si="8"/>
        <v>2025</v>
      </c>
      <c r="K785" s="8" t="str">
        <f t="shared" si="3"/>
        <v>2025 - 7</v>
      </c>
    </row>
    <row r="786" outlineLevel="1">
      <c r="A786" s="2">
        <v>782.0</v>
      </c>
      <c r="B786" s="3">
        <v>45864.0</v>
      </c>
      <c r="C786" s="5" t="s">
        <v>18</v>
      </c>
      <c r="D786" s="5" t="s">
        <v>10</v>
      </c>
      <c r="E786" s="6">
        <v>-592.0</v>
      </c>
      <c r="F786" s="7">
        <f t="shared" si="4"/>
        <v>46553.54</v>
      </c>
      <c r="G786" s="5"/>
      <c r="H786" s="5"/>
      <c r="I786" s="8">
        <f t="shared" si="7"/>
        <v>7</v>
      </c>
      <c r="J786" s="8">
        <f t="shared" si="8"/>
        <v>2025</v>
      </c>
      <c r="K786" s="8" t="str">
        <f t="shared" si="3"/>
        <v>2025 - 7</v>
      </c>
    </row>
    <row r="787" outlineLevel="1">
      <c r="A787" s="2">
        <v>783.0</v>
      </c>
      <c r="B787" s="3">
        <v>45864.0</v>
      </c>
      <c r="C787" s="5" t="s">
        <v>18</v>
      </c>
      <c r="D787" s="5" t="s">
        <v>10</v>
      </c>
      <c r="E787" s="6">
        <v>-60.0</v>
      </c>
      <c r="F787" s="7">
        <f t="shared" si="4"/>
        <v>46493.54</v>
      </c>
      <c r="G787" s="5"/>
      <c r="H787" s="5"/>
      <c r="I787" s="8">
        <f t="shared" si="7"/>
        <v>7</v>
      </c>
      <c r="J787" s="8">
        <f t="shared" si="8"/>
        <v>2025</v>
      </c>
      <c r="K787" s="8" t="str">
        <f t="shared" si="3"/>
        <v>2025 - 7</v>
      </c>
    </row>
    <row r="788" outlineLevel="1">
      <c r="A788" s="2">
        <v>784.0</v>
      </c>
      <c r="B788" s="3">
        <v>45864.0</v>
      </c>
      <c r="C788" s="5" t="s">
        <v>9</v>
      </c>
      <c r="D788" s="5" t="s">
        <v>10</v>
      </c>
      <c r="E788" s="6">
        <v>-302.0</v>
      </c>
      <c r="F788" s="7">
        <f t="shared" si="4"/>
        <v>46191.54</v>
      </c>
      <c r="G788" s="5"/>
      <c r="H788" s="5"/>
      <c r="I788" s="8">
        <f t="shared" si="7"/>
        <v>7</v>
      </c>
      <c r="J788" s="8">
        <f t="shared" si="8"/>
        <v>2025</v>
      </c>
      <c r="K788" s="8" t="str">
        <f t="shared" si="3"/>
        <v>2025 - 7</v>
      </c>
    </row>
    <row r="789" outlineLevel="1">
      <c r="A789" s="2">
        <v>785.0</v>
      </c>
      <c r="B789" s="3">
        <v>45864.0</v>
      </c>
      <c r="C789" s="5" t="s">
        <v>9</v>
      </c>
      <c r="D789" s="5" t="s">
        <v>10</v>
      </c>
      <c r="E789" s="6">
        <v>-300.0</v>
      </c>
      <c r="F789" s="7">
        <f t="shared" si="4"/>
        <v>45891.54</v>
      </c>
      <c r="G789" s="5"/>
      <c r="H789" s="5"/>
      <c r="I789" s="8">
        <f t="shared" si="7"/>
        <v>7</v>
      </c>
      <c r="J789" s="8">
        <f t="shared" si="8"/>
        <v>2025</v>
      </c>
      <c r="K789" s="8" t="str">
        <f t="shared" si="3"/>
        <v>2025 - 7</v>
      </c>
    </row>
    <row r="790" outlineLevel="1">
      <c r="A790" s="2">
        <v>786.0</v>
      </c>
      <c r="B790" s="3">
        <v>45864.0</v>
      </c>
      <c r="C790" s="5" t="s">
        <v>9</v>
      </c>
      <c r="D790" s="5" t="s">
        <v>10</v>
      </c>
      <c r="E790" s="6">
        <v>-135.44</v>
      </c>
      <c r="F790" s="7">
        <f t="shared" si="4"/>
        <v>45756.1</v>
      </c>
      <c r="G790" s="5"/>
      <c r="H790" s="5"/>
      <c r="I790" s="8">
        <f t="shared" si="7"/>
        <v>7</v>
      </c>
      <c r="J790" s="8">
        <f t="shared" si="8"/>
        <v>2025</v>
      </c>
      <c r="K790" s="8" t="str">
        <f t="shared" si="3"/>
        <v>2025 - 7</v>
      </c>
    </row>
    <row r="791" outlineLevel="1">
      <c r="A791" s="2">
        <v>787.0</v>
      </c>
      <c r="B791" s="3">
        <v>45864.0</v>
      </c>
      <c r="C791" s="5" t="s">
        <v>9</v>
      </c>
      <c r="D791" s="5" t="s">
        <v>10</v>
      </c>
      <c r="E791" s="6">
        <v>-100.0</v>
      </c>
      <c r="F791" s="7">
        <f t="shared" si="4"/>
        <v>45656.1</v>
      </c>
      <c r="G791" s="5"/>
      <c r="H791" s="5"/>
      <c r="I791" s="8">
        <f t="shared" si="7"/>
        <v>7</v>
      </c>
      <c r="J791" s="8">
        <f t="shared" si="8"/>
        <v>2025</v>
      </c>
      <c r="K791" s="8" t="str">
        <f t="shared" si="3"/>
        <v>2025 - 7</v>
      </c>
    </row>
    <row r="792" outlineLevel="1">
      <c r="A792" s="2">
        <v>788.0</v>
      </c>
      <c r="B792" s="3">
        <v>45864.0</v>
      </c>
      <c r="C792" s="5" t="s">
        <v>18</v>
      </c>
      <c r="D792" s="5" t="s">
        <v>39</v>
      </c>
      <c r="E792" s="6">
        <v>-603.81</v>
      </c>
      <c r="F792" s="7">
        <f t="shared" si="4"/>
        <v>45052.29</v>
      </c>
      <c r="G792" s="5"/>
      <c r="H792" s="5"/>
      <c r="I792" s="8">
        <f t="shared" si="7"/>
        <v>7</v>
      </c>
      <c r="J792" s="8">
        <f t="shared" si="8"/>
        <v>2025</v>
      </c>
      <c r="K792" s="8" t="str">
        <f t="shared" si="3"/>
        <v>2025 - 7</v>
      </c>
    </row>
    <row r="793" outlineLevel="1">
      <c r="A793" s="2">
        <v>789.0</v>
      </c>
      <c r="B793" s="3">
        <v>45865.0</v>
      </c>
      <c r="C793" s="5" t="s">
        <v>9</v>
      </c>
      <c r="D793" s="5" t="s">
        <v>10</v>
      </c>
      <c r="E793" s="6">
        <v>-410.0</v>
      </c>
      <c r="F793" s="7">
        <f t="shared" si="4"/>
        <v>44642.29</v>
      </c>
      <c r="G793" s="5"/>
      <c r="H793" s="5"/>
      <c r="I793" s="8">
        <f t="shared" si="7"/>
        <v>7</v>
      </c>
      <c r="J793" s="8">
        <f t="shared" si="8"/>
        <v>2025</v>
      </c>
      <c r="K793" s="8" t="str">
        <f t="shared" si="3"/>
        <v>2025 - 7</v>
      </c>
    </row>
    <row r="794" outlineLevel="1">
      <c r="A794" s="2">
        <v>790.0</v>
      </c>
      <c r="B794" s="3">
        <v>45865.0</v>
      </c>
      <c r="C794" s="5" t="s">
        <v>16</v>
      </c>
      <c r="D794" s="5" t="s">
        <v>10</v>
      </c>
      <c r="E794" s="6">
        <v>-213.0</v>
      </c>
      <c r="F794" s="7">
        <f t="shared" si="4"/>
        <v>44429.29</v>
      </c>
      <c r="G794" s="5" t="s">
        <v>240</v>
      </c>
      <c r="H794" s="5"/>
      <c r="I794" s="8">
        <f t="shared" si="7"/>
        <v>7</v>
      </c>
      <c r="J794" s="8">
        <f t="shared" si="8"/>
        <v>2025</v>
      </c>
      <c r="K794" s="8" t="str">
        <f t="shared" si="3"/>
        <v>2025 - 7</v>
      </c>
    </row>
    <row r="795" outlineLevel="1">
      <c r="A795" s="2">
        <v>791.0</v>
      </c>
      <c r="B795" s="3">
        <v>45866.0</v>
      </c>
      <c r="C795" s="5" t="s">
        <v>16</v>
      </c>
      <c r="D795" s="5" t="s">
        <v>10</v>
      </c>
      <c r="E795" s="6">
        <v>-998.0</v>
      </c>
      <c r="F795" s="7">
        <f t="shared" si="4"/>
        <v>43431.29</v>
      </c>
      <c r="G795" s="5"/>
      <c r="H795" s="5"/>
      <c r="I795" s="8">
        <f t="shared" si="7"/>
        <v>7</v>
      </c>
      <c r="J795" s="8">
        <f t="shared" si="8"/>
        <v>2025</v>
      </c>
      <c r="K795" s="8" t="str">
        <f t="shared" si="3"/>
        <v>2025 - 7</v>
      </c>
    </row>
    <row r="796" outlineLevel="1">
      <c r="A796" s="2">
        <v>792.0</v>
      </c>
      <c r="B796" s="3">
        <v>45866.0</v>
      </c>
      <c r="C796" s="5" t="s">
        <v>18</v>
      </c>
      <c r="D796" s="5" t="s">
        <v>10</v>
      </c>
      <c r="E796" s="6">
        <v>-514.0</v>
      </c>
      <c r="F796" s="7">
        <f t="shared" si="4"/>
        <v>42917.29</v>
      </c>
      <c r="G796" s="6" t="s">
        <v>238</v>
      </c>
      <c r="H796" s="5"/>
      <c r="I796" s="8">
        <f t="shared" si="7"/>
        <v>7</v>
      </c>
      <c r="J796" s="8">
        <f t="shared" si="8"/>
        <v>2025</v>
      </c>
      <c r="K796" s="8" t="str">
        <f t="shared" si="3"/>
        <v>2025 - 7</v>
      </c>
    </row>
    <row r="797" outlineLevel="1">
      <c r="A797" s="2">
        <v>793.0</v>
      </c>
      <c r="B797" s="3">
        <v>45866.0</v>
      </c>
      <c r="C797" s="5" t="s">
        <v>18</v>
      </c>
      <c r="D797" s="5" t="s">
        <v>10</v>
      </c>
      <c r="E797" s="6">
        <v>-403.0</v>
      </c>
      <c r="F797" s="7">
        <f t="shared" si="4"/>
        <v>42514.29</v>
      </c>
      <c r="G797" s="5" t="s">
        <v>250</v>
      </c>
      <c r="H797" s="5"/>
      <c r="I797" s="8">
        <f t="shared" si="7"/>
        <v>7</v>
      </c>
      <c r="J797" s="8">
        <f t="shared" si="8"/>
        <v>2025</v>
      </c>
      <c r="K797" s="8" t="str">
        <f t="shared" si="3"/>
        <v>2025 - 7</v>
      </c>
    </row>
    <row r="798" outlineLevel="1">
      <c r="A798" s="2">
        <v>794.0</v>
      </c>
      <c r="B798" s="3">
        <v>45866.0</v>
      </c>
      <c r="C798" s="5" t="s">
        <v>16</v>
      </c>
      <c r="D798" s="5" t="s">
        <v>10</v>
      </c>
      <c r="E798" s="6">
        <v>-999.0</v>
      </c>
      <c r="F798" s="7">
        <f t="shared" si="4"/>
        <v>41515.29</v>
      </c>
      <c r="G798" s="5"/>
      <c r="H798" s="5"/>
      <c r="I798" s="8">
        <f t="shared" si="7"/>
        <v>7</v>
      </c>
      <c r="J798" s="8">
        <f t="shared" si="8"/>
        <v>2025</v>
      </c>
      <c r="K798" s="8" t="str">
        <f t="shared" si="3"/>
        <v>2025 - 7</v>
      </c>
    </row>
    <row r="799" outlineLevel="1">
      <c r="A799" s="2">
        <v>795.0</v>
      </c>
      <c r="B799" s="3">
        <v>45867.0</v>
      </c>
      <c r="C799" s="5" t="s">
        <v>31</v>
      </c>
      <c r="D799" s="5" t="s">
        <v>10</v>
      </c>
      <c r="E799" s="6">
        <v>-140.0</v>
      </c>
      <c r="F799" s="7">
        <f t="shared" si="4"/>
        <v>41375.29</v>
      </c>
      <c r="G799" s="5" t="s">
        <v>32</v>
      </c>
      <c r="H799" s="5"/>
      <c r="I799" s="8">
        <f t="shared" si="7"/>
        <v>7</v>
      </c>
      <c r="J799" s="8">
        <f t="shared" si="8"/>
        <v>2025</v>
      </c>
      <c r="K799" s="8" t="str">
        <f t="shared" si="3"/>
        <v>2025 - 7</v>
      </c>
    </row>
    <row r="800" outlineLevel="1">
      <c r="A800" s="2">
        <v>796.0</v>
      </c>
      <c r="B800" s="3">
        <v>45867.0</v>
      </c>
      <c r="C800" s="5" t="s">
        <v>18</v>
      </c>
      <c r="D800" s="5" t="s">
        <v>313</v>
      </c>
      <c r="E800" s="6">
        <v>-380.0</v>
      </c>
      <c r="F800" s="7">
        <f t="shared" si="4"/>
        <v>40995.29</v>
      </c>
      <c r="G800" s="5" t="s">
        <v>314</v>
      </c>
      <c r="H800" s="5"/>
      <c r="I800" s="8">
        <f t="shared" si="7"/>
        <v>7</v>
      </c>
      <c r="J800" s="8">
        <f t="shared" si="8"/>
        <v>2025</v>
      </c>
      <c r="K800" s="8" t="str">
        <f t="shared" si="3"/>
        <v>2025 - 7</v>
      </c>
    </row>
    <row r="801" outlineLevel="1">
      <c r="A801" s="2">
        <v>797.0</v>
      </c>
      <c r="B801" s="3">
        <v>45867.0</v>
      </c>
      <c r="C801" s="5" t="s">
        <v>18</v>
      </c>
      <c r="D801" s="5" t="s">
        <v>10</v>
      </c>
      <c r="E801" s="6">
        <v>-419.0</v>
      </c>
      <c r="F801" s="7">
        <f t="shared" si="4"/>
        <v>40576.29</v>
      </c>
      <c r="G801" s="5" t="s">
        <v>250</v>
      </c>
      <c r="H801" s="5"/>
      <c r="I801" s="8">
        <f t="shared" si="7"/>
        <v>7</v>
      </c>
      <c r="J801" s="8">
        <f t="shared" si="8"/>
        <v>2025</v>
      </c>
      <c r="K801" s="8" t="str">
        <f t="shared" si="3"/>
        <v>2025 - 7</v>
      </c>
    </row>
    <row r="802" outlineLevel="1">
      <c r="A802" s="2">
        <v>798.0</v>
      </c>
      <c r="B802" s="3">
        <v>45868.0</v>
      </c>
      <c r="C802" s="5" t="s">
        <v>9</v>
      </c>
      <c r="D802" s="5" t="s">
        <v>10</v>
      </c>
      <c r="E802" s="6">
        <v>-738.22</v>
      </c>
      <c r="F802" s="7">
        <f t="shared" si="4"/>
        <v>39838.07</v>
      </c>
      <c r="G802" s="5" t="s">
        <v>315</v>
      </c>
      <c r="H802" s="5"/>
      <c r="I802" s="8">
        <f t="shared" si="7"/>
        <v>7</v>
      </c>
      <c r="J802" s="8">
        <f t="shared" si="8"/>
        <v>2025</v>
      </c>
      <c r="K802" s="8" t="str">
        <f t="shared" si="3"/>
        <v>2025 - 7</v>
      </c>
    </row>
    <row r="803" outlineLevel="1">
      <c r="A803" s="2">
        <v>799.0</v>
      </c>
      <c r="B803" s="3">
        <v>45868.0</v>
      </c>
      <c r="C803" s="5" t="s">
        <v>18</v>
      </c>
      <c r="D803" s="5" t="s">
        <v>10</v>
      </c>
      <c r="E803" s="6">
        <v>-1010.1</v>
      </c>
      <c r="F803" s="7">
        <f t="shared" si="4"/>
        <v>38827.97</v>
      </c>
      <c r="G803" s="5"/>
      <c r="H803" s="5"/>
      <c r="I803" s="8">
        <f t="shared" si="7"/>
        <v>7</v>
      </c>
      <c r="J803" s="8">
        <f t="shared" si="8"/>
        <v>2025</v>
      </c>
      <c r="K803" s="8" t="str">
        <f t="shared" si="3"/>
        <v>2025 - 7</v>
      </c>
    </row>
    <row r="804" outlineLevel="1">
      <c r="A804" s="2">
        <v>800.0</v>
      </c>
      <c r="B804" s="3">
        <v>45868.0</v>
      </c>
      <c r="C804" s="5" t="s">
        <v>12</v>
      </c>
      <c r="D804" s="5" t="s">
        <v>10</v>
      </c>
      <c r="E804" s="6">
        <v>-2000.0</v>
      </c>
      <c r="F804" s="7">
        <f t="shared" si="4"/>
        <v>36827.97</v>
      </c>
      <c r="G804" s="5" t="s">
        <v>292</v>
      </c>
      <c r="H804" s="5"/>
      <c r="I804" s="8">
        <f t="shared" si="7"/>
        <v>7</v>
      </c>
      <c r="J804" s="8">
        <f t="shared" si="8"/>
        <v>2025</v>
      </c>
      <c r="K804" s="8" t="str">
        <f t="shared" si="3"/>
        <v>2025 - 7</v>
      </c>
    </row>
    <row r="805" outlineLevel="1">
      <c r="A805" s="2">
        <v>801.0</v>
      </c>
      <c r="B805" s="3">
        <v>45869.0</v>
      </c>
      <c r="C805" s="5" t="s">
        <v>18</v>
      </c>
      <c r="D805" s="5" t="s">
        <v>10</v>
      </c>
      <c r="E805" s="6">
        <v>-577.0</v>
      </c>
      <c r="F805" s="7">
        <f t="shared" si="4"/>
        <v>36250.97</v>
      </c>
      <c r="G805" s="5"/>
      <c r="H805" s="5"/>
      <c r="I805" s="8">
        <f t="shared" si="7"/>
        <v>7</v>
      </c>
      <c r="J805" s="8">
        <f t="shared" si="8"/>
        <v>2025</v>
      </c>
      <c r="K805" s="8" t="str">
        <f t="shared" si="3"/>
        <v>2025 - 7</v>
      </c>
    </row>
    <row r="806" outlineLevel="1">
      <c r="A806" s="2">
        <v>802.0</v>
      </c>
      <c r="B806" s="3">
        <v>45869.0</v>
      </c>
      <c r="C806" s="5" t="s">
        <v>18</v>
      </c>
      <c r="D806" s="5" t="s">
        <v>10</v>
      </c>
      <c r="E806" s="6">
        <v>-507.0</v>
      </c>
      <c r="F806" s="7">
        <f t="shared" si="4"/>
        <v>35743.97</v>
      </c>
      <c r="G806" s="5" t="s">
        <v>288</v>
      </c>
      <c r="H806" s="5"/>
      <c r="I806" s="8">
        <f t="shared" si="7"/>
        <v>7</v>
      </c>
      <c r="J806" s="8">
        <f t="shared" si="8"/>
        <v>2025</v>
      </c>
      <c r="K806" s="8" t="str">
        <f t="shared" si="3"/>
        <v>2025 - 7</v>
      </c>
    </row>
    <row r="807" outlineLevel="1">
      <c r="A807" s="2">
        <v>803.0</v>
      </c>
      <c r="B807" s="3">
        <v>45869.0</v>
      </c>
      <c r="C807" s="5" t="s">
        <v>16</v>
      </c>
      <c r="D807" s="5" t="s">
        <v>10</v>
      </c>
      <c r="E807" s="6">
        <v>-4568.0</v>
      </c>
      <c r="F807" s="7">
        <f t="shared" si="4"/>
        <v>31175.97</v>
      </c>
      <c r="G807" s="5" t="s">
        <v>163</v>
      </c>
      <c r="H807" s="5"/>
      <c r="I807" s="8">
        <f t="shared" si="7"/>
        <v>7</v>
      </c>
      <c r="J807" s="8">
        <f t="shared" si="8"/>
        <v>2025</v>
      </c>
      <c r="K807" s="8" t="str">
        <f t="shared" si="3"/>
        <v>2025 - 7</v>
      </c>
    </row>
    <row r="808" outlineLevel="1">
      <c r="A808" s="2">
        <v>804.0</v>
      </c>
      <c r="B808" s="3">
        <v>45869.0</v>
      </c>
      <c r="C808" s="5" t="s">
        <v>31</v>
      </c>
      <c r="D808" s="5" t="s">
        <v>10</v>
      </c>
      <c r="E808" s="6">
        <v>-8582.0</v>
      </c>
      <c r="F808" s="7">
        <f t="shared" si="4"/>
        <v>22593.97</v>
      </c>
      <c r="G808" s="5" t="s">
        <v>316</v>
      </c>
      <c r="H808" s="5"/>
      <c r="I808" s="8">
        <f t="shared" si="7"/>
        <v>7</v>
      </c>
      <c r="J808" s="8">
        <f t="shared" si="8"/>
        <v>2025</v>
      </c>
      <c r="K808" s="8" t="str">
        <f t="shared" si="3"/>
        <v>2025 - 7</v>
      </c>
    </row>
    <row r="809">
      <c r="A809" s="13">
        <v>805.0</v>
      </c>
      <c r="B809" s="14">
        <v>45870.0</v>
      </c>
      <c r="C809" s="15" t="s">
        <v>24</v>
      </c>
      <c r="D809" s="15" t="s">
        <v>10</v>
      </c>
      <c r="E809" s="16">
        <v>126.0</v>
      </c>
      <c r="F809" s="17">
        <f t="shared" si="4"/>
        <v>22719.97</v>
      </c>
      <c r="G809" s="15" t="s">
        <v>296</v>
      </c>
      <c r="H809" s="15"/>
      <c r="I809" s="18">
        <f t="shared" si="7"/>
        <v>8</v>
      </c>
      <c r="J809" s="18">
        <f t="shared" si="8"/>
        <v>2025</v>
      </c>
      <c r="K809" s="18" t="str">
        <f t="shared" si="3"/>
        <v>2025 - 8</v>
      </c>
    </row>
    <row r="810" outlineLevel="1">
      <c r="A810" s="2">
        <v>806.0</v>
      </c>
      <c r="B810" s="3">
        <v>45871.0</v>
      </c>
      <c r="C810" s="5" t="s">
        <v>101</v>
      </c>
      <c r="D810" s="5" t="s">
        <v>10</v>
      </c>
      <c r="E810" s="6">
        <v>106696.0</v>
      </c>
      <c r="F810" s="7">
        <f t="shared" si="4"/>
        <v>129415.97</v>
      </c>
      <c r="G810" s="5" t="s">
        <v>101</v>
      </c>
      <c r="H810" s="5"/>
      <c r="I810" s="8">
        <f t="shared" si="7"/>
        <v>8</v>
      </c>
      <c r="J810" s="8">
        <f t="shared" si="8"/>
        <v>2025</v>
      </c>
      <c r="K810" s="8" t="str">
        <f t="shared" si="3"/>
        <v>2025 - 8</v>
      </c>
    </row>
    <row r="811" outlineLevel="1">
      <c r="A811" s="2">
        <v>807.0</v>
      </c>
      <c r="B811" s="3">
        <v>45871.0</v>
      </c>
      <c r="C811" s="5" t="s">
        <v>18</v>
      </c>
      <c r="D811" s="5" t="s">
        <v>10</v>
      </c>
      <c r="E811" s="6">
        <v>-525.0</v>
      </c>
      <c r="F811" s="7">
        <f t="shared" si="4"/>
        <v>128890.97</v>
      </c>
      <c r="H811" s="5"/>
      <c r="I811" s="8">
        <f t="shared" si="7"/>
        <v>8</v>
      </c>
      <c r="J811" s="8">
        <f t="shared" si="8"/>
        <v>2025</v>
      </c>
      <c r="K811" s="8" t="str">
        <f t="shared" si="3"/>
        <v>2025 - 8</v>
      </c>
    </row>
    <row r="812" outlineLevel="1">
      <c r="A812" s="2">
        <v>808.0</v>
      </c>
      <c r="B812" s="3">
        <v>45872.0</v>
      </c>
      <c r="C812" s="5" t="s">
        <v>9</v>
      </c>
      <c r="D812" s="5" t="s">
        <v>10</v>
      </c>
      <c r="E812" s="6">
        <v>-300.0</v>
      </c>
      <c r="F812" s="7">
        <f t="shared" si="4"/>
        <v>128590.97</v>
      </c>
      <c r="G812" s="5"/>
      <c r="H812" s="5"/>
      <c r="I812" s="8">
        <f t="shared" si="7"/>
        <v>8</v>
      </c>
      <c r="J812" s="8">
        <f t="shared" si="8"/>
        <v>2025</v>
      </c>
      <c r="K812" s="8" t="str">
        <f t="shared" si="3"/>
        <v>2025 - 8</v>
      </c>
    </row>
    <row r="813" outlineLevel="1">
      <c r="A813" s="2">
        <v>809.0</v>
      </c>
      <c r="B813" s="3">
        <v>45872.0</v>
      </c>
      <c r="C813" s="5" t="s">
        <v>9</v>
      </c>
      <c r="D813" s="5" t="s">
        <v>10</v>
      </c>
      <c r="E813" s="6">
        <v>-345.0</v>
      </c>
      <c r="F813" s="7">
        <f t="shared" si="4"/>
        <v>128245.97</v>
      </c>
      <c r="G813" s="5"/>
      <c r="H813" s="5"/>
      <c r="I813" s="8">
        <f t="shared" si="7"/>
        <v>8</v>
      </c>
      <c r="J813" s="8">
        <f t="shared" si="8"/>
        <v>2025</v>
      </c>
      <c r="K813" s="8" t="str">
        <f t="shared" si="3"/>
        <v>2025 - 8</v>
      </c>
    </row>
    <row r="814" outlineLevel="1">
      <c r="A814" s="2">
        <v>810.0</v>
      </c>
      <c r="B814" s="3">
        <v>45872.0</v>
      </c>
      <c r="C814" s="5" t="s">
        <v>18</v>
      </c>
      <c r="D814" s="5" t="s">
        <v>10</v>
      </c>
      <c r="E814" s="6">
        <v>-78.0</v>
      </c>
      <c r="F814" s="7">
        <f t="shared" si="4"/>
        <v>128167.97</v>
      </c>
      <c r="G814" s="5"/>
      <c r="H814" s="5"/>
      <c r="I814" s="8">
        <f t="shared" si="7"/>
        <v>8</v>
      </c>
      <c r="J814" s="8">
        <f t="shared" si="8"/>
        <v>2025</v>
      </c>
      <c r="K814" s="8" t="str">
        <f t="shared" si="3"/>
        <v>2025 - 8</v>
      </c>
    </row>
    <row r="815" outlineLevel="1">
      <c r="A815" s="2">
        <v>811.0</v>
      </c>
      <c r="B815" s="3">
        <v>45872.0</v>
      </c>
      <c r="C815" s="5" t="s">
        <v>24</v>
      </c>
      <c r="D815" s="5" t="s">
        <v>10</v>
      </c>
      <c r="E815" s="6">
        <v>1000.0</v>
      </c>
      <c r="F815" s="7">
        <f t="shared" si="4"/>
        <v>129167.97</v>
      </c>
      <c r="G815" s="5" t="s">
        <v>292</v>
      </c>
      <c r="H815" s="5"/>
      <c r="I815" s="8">
        <f t="shared" si="7"/>
        <v>8</v>
      </c>
      <c r="J815" s="8">
        <f t="shared" si="8"/>
        <v>2025</v>
      </c>
      <c r="K815" s="8" t="str">
        <f t="shared" si="3"/>
        <v>2025 - 8</v>
      </c>
    </row>
    <row r="816" outlineLevel="1">
      <c r="A816" s="2">
        <v>812.0</v>
      </c>
      <c r="B816" s="3">
        <v>45873.0</v>
      </c>
      <c r="C816" s="5" t="s">
        <v>9</v>
      </c>
      <c r="D816" s="5" t="s">
        <v>10</v>
      </c>
      <c r="E816" s="6">
        <v>-63.0</v>
      </c>
      <c r="F816" s="7">
        <f t="shared" si="4"/>
        <v>129104.97</v>
      </c>
      <c r="G816" s="5"/>
      <c r="H816" s="5"/>
      <c r="I816" s="8">
        <f t="shared" si="7"/>
        <v>8</v>
      </c>
      <c r="J816" s="8">
        <f t="shared" si="8"/>
        <v>2025</v>
      </c>
      <c r="K816" s="8" t="str">
        <f t="shared" si="3"/>
        <v>2025 - 8</v>
      </c>
    </row>
    <row r="817" outlineLevel="1">
      <c r="A817" s="2">
        <v>813.0</v>
      </c>
      <c r="B817" s="3">
        <v>45873.0</v>
      </c>
      <c r="C817" s="5" t="s">
        <v>227</v>
      </c>
      <c r="D817" s="5" t="s">
        <v>10</v>
      </c>
      <c r="E817" s="6">
        <v>-20000.0</v>
      </c>
      <c r="F817" s="7">
        <f t="shared" si="4"/>
        <v>109104.97</v>
      </c>
      <c r="G817" s="5" t="s">
        <v>317</v>
      </c>
      <c r="H817" s="5"/>
      <c r="I817" s="8">
        <f t="shared" si="7"/>
        <v>8</v>
      </c>
      <c r="J817" s="8">
        <f t="shared" si="8"/>
        <v>2025</v>
      </c>
      <c r="K817" s="8" t="str">
        <f t="shared" si="3"/>
        <v>2025 - 8</v>
      </c>
    </row>
    <row r="818" outlineLevel="1">
      <c r="A818" s="2">
        <v>814.0</v>
      </c>
      <c r="B818" s="3">
        <v>45873.0</v>
      </c>
      <c r="C818" s="5" t="s">
        <v>18</v>
      </c>
      <c r="D818" s="5" t="s">
        <v>39</v>
      </c>
      <c r="E818" s="6">
        <v>-486.0</v>
      </c>
      <c r="F818" s="7">
        <f t="shared" si="4"/>
        <v>108618.97</v>
      </c>
      <c r="G818" s="5" t="s">
        <v>249</v>
      </c>
      <c r="H818" s="5"/>
      <c r="I818" s="8">
        <f t="shared" si="7"/>
        <v>8</v>
      </c>
      <c r="J818" s="8">
        <f t="shared" si="8"/>
        <v>2025</v>
      </c>
      <c r="K818" s="8" t="str">
        <f t="shared" si="3"/>
        <v>2025 - 8</v>
      </c>
    </row>
    <row r="819" outlineLevel="1">
      <c r="A819" s="2">
        <v>815.0</v>
      </c>
      <c r="B819" s="3">
        <v>45873.0</v>
      </c>
      <c r="C819" s="5" t="s">
        <v>24</v>
      </c>
      <c r="D819" s="5" t="s">
        <v>10</v>
      </c>
      <c r="E819" s="6">
        <v>90.0</v>
      </c>
      <c r="F819" s="7">
        <f t="shared" si="4"/>
        <v>108708.97</v>
      </c>
      <c r="G819" s="5" t="s">
        <v>289</v>
      </c>
      <c r="H819" s="5"/>
      <c r="I819" s="8">
        <f t="shared" si="7"/>
        <v>8</v>
      </c>
      <c r="J819" s="8">
        <f t="shared" si="8"/>
        <v>2025</v>
      </c>
      <c r="K819" s="8" t="str">
        <f t="shared" si="3"/>
        <v>2025 - 8</v>
      </c>
    </row>
    <row r="820" outlineLevel="1">
      <c r="A820" s="2">
        <v>816.0</v>
      </c>
      <c r="B820" s="3">
        <v>45873.0</v>
      </c>
      <c r="C820" s="5" t="s">
        <v>24</v>
      </c>
      <c r="D820" s="5" t="s">
        <v>10</v>
      </c>
      <c r="E820" s="6">
        <v>90.0</v>
      </c>
      <c r="F820" s="7">
        <f t="shared" si="4"/>
        <v>108798.97</v>
      </c>
      <c r="G820" s="5" t="s">
        <v>318</v>
      </c>
      <c r="H820" s="5"/>
      <c r="I820" s="8">
        <f t="shared" si="7"/>
        <v>8</v>
      </c>
      <c r="J820" s="8">
        <f t="shared" si="8"/>
        <v>2025</v>
      </c>
      <c r="K820" s="8" t="str">
        <f t="shared" si="3"/>
        <v>2025 - 8</v>
      </c>
    </row>
    <row r="821" outlineLevel="1">
      <c r="A821" s="2">
        <v>817.0</v>
      </c>
      <c r="B821" s="3">
        <v>45873.0</v>
      </c>
      <c r="C821" s="5" t="s">
        <v>18</v>
      </c>
      <c r="D821" s="5" t="s">
        <v>10</v>
      </c>
      <c r="E821" s="6">
        <v>-90.0</v>
      </c>
      <c r="F821" s="7">
        <f t="shared" si="4"/>
        <v>108708.97</v>
      </c>
      <c r="G821" s="5" t="s">
        <v>249</v>
      </c>
      <c r="H821" s="5"/>
      <c r="I821" s="8">
        <f t="shared" si="7"/>
        <v>8</v>
      </c>
      <c r="J821" s="8">
        <f t="shared" si="8"/>
        <v>2025</v>
      </c>
      <c r="K821" s="8" t="str">
        <f t="shared" si="3"/>
        <v>2025 - 8</v>
      </c>
    </row>
    <row r="822" outlineLevel="1">
      <c r="A822" s="2">
        <v>818.0</v>
      </c>
      <c r="B822" s="3">
        <v>45873.0</v>
      </c>
      <c r="C822" s="5" t="s">
        <v>24</v>
      </c>
      <c r="D822" s="5" t="s">
        <v>10</v>
      </c>
      <c r="E822" s="6">
        <v>110.0</v>
      </c>
      <c r="F822" s="7">
        <f t="shared" si="4"/>
        <v>108818.97</v>
      </c>
      <c r="G822" s="5" t="s">
        <v>319</v>
      </c>
      <c r="H822" s="5"/>
      <c r="I822" s="8">
        <f t="shared" si="7"/>
        <v>8</v>
      </c>
      <c r="J822" s="8">
        <f t="shared" si="8"/>
        <v>2025</v>
      </c>
      <c r="K822" s="8" t="str">
        <f t="shared" si="3"/>
        <v>2025 - 8</v>
      </c>
    </row>
    <row r="823" outlineLevel="1">
      <c r="A823" s="2">
        <v>819.0</v>
      </c>
      <c r="B823" s="3">
        <v>45873.0</v>
      </c>
      <c r="C823" s="5" t="s">
        <v>18</v>
      </c>
      <c r="D823" s="5" t="s">
        <v>39</v>
      </c>
      <c r="E823" s="6">
        <v>-1325.05</v>
      </c>
      <c r="F823" s="7">
        <f t="shared" si="4"/>
        <v>107493.92</v>
      </c>
      <c r="G823" s="5" t="s">
        <v>320</v>
      </c>
      <c r="H823" s="5"/>
      <c r="I823" s="8">
        <f t="shared" si="7"/>
        <v>8</v>
      </c>
      <c r="J823" s="8">
        <f t="shared" si="8"/>
        <v>2025</v>
      </c>
      <c r="K823" s="8" t="str">
        <f t="shared" si="3"/>
        <v>2025 - 8</v>
      </c>
    </row>
    <row r="824" outlineLevel="1">
      <c r="A824" s="2">
        <v>820.0</v>
      </c>
      <c r="B824" s="3">
        <v>45873.0</v>
      </c>
      <c r="C824" s="5" t="s">
        <v>18</v>
      </c>
      <c r="D824" s="5" t="s">
        <v>39</v>
      </c>
      <c r="E824" s="6">
        <v>-454.25</v>
      </c>
      <c r="F824" s="7">
        <f t="shared" si="4"/>
        <v>107039.67</v>
      </c>
      <c r="G824" s="5" t="s">
        <v>320</v>
      </c>
      <c r="H824" s="5"/>
      <c r="I824" s="8">
        <f t="shared" si="7"/>
        <v>8</v>
      </c>
      <c r="J824" s="8">
        <f t="shared" si="8"/>
        <v>2025</v>
      </c>
      <c r="K824" s="8" t="str">
        <f t="shared" si="3"/>
        <v>2025 - 8</v>
      </c>
    </row>
    <row r="825" outlineLevel="1">
      <c r="A825" s="2">
        <v>821.0</v>
      </c>
      <c r="B825" s="3">
        <v>45873.0</v>
      </c>
      <c r="C825" s="5" t="s">
        <v>24</v>
      </c>
      <c r="D825" s="5" t="s">
        <v>10</v>
      </c>
      <c r="E825" s="6">
        <v>1780.0</v>
      </c>
      <c r="F825" s="7">
        <f t="shared" si="4"/>
        <v>108819.67</v>
      </c>
      <c r="G825" s="5" t="s">
        <v>321</v>
      </c>
      <c r="H825" s="5"/>
      <c r="I825" s="8">
        <f t="shared" si="7"/>
        <v>8</v>
      </c>
      <c r="J825" s="8">
        <f t="shared" si="8"/>
        <v>2025</v>
      </c>
      <c r="K825" s="8" t="str">
        <f t="shared" si="3"/>
        <v>2025 - 8</v>
      </c>
    </row>
    <row r="826" outlineLevel="1">
      <c r="A826" s="2">
        <v>822.0</v>
      </c>
      <c r="B826" s="3">
        <v>45873.0</v>
      </c>
      <c r="C826" s="5" t="s">
        <v>9</v>
      </c>
      <c r="D826" s="5" t="s">
        <v>10</v>
      </c>
      <c r="E826" s="6">
        <v>-82.0</v>
      </c>
      <c r="F826" s="7">
        <f t="shared" si="4"/>
        <v>108737.67</v>
      </c>
      <c r="G826" s="5"/>
      <c r="H826" s="5"/>
      <c r="I826" s="8">
        <f t="shared" si="7"/>
        <v>8</v>
      </c>
      <c r="J826" s="8">
        <f t="shared" si="8"/>
        <v>2025</v>
      </c>
      <c r="K826" s="8" t="str">
        <f t="shared" si="3"/>
        <v>2025 - 8</v>
      </c>
    </row>
    <row r="827" outlineLevel="1">
      <c r="A827" s="2">
        <v>823.0</v>
      </c>
      <c r="B827" s="3">
        <v>45873.0</v>
      </c>
      <c r="C827" s="5" t="s">
        <v>24</v>
      </c>
      <c r="D827" s="5" t="s">
        <v>10</v>
      </c>
      <c r="E827" s="6">
        <v>106.0</v>
      </c>
      <c r="F827" s="7">
        <f t="shared" si="4"/>
        <v>108843.67</v>
      </c>
      <c r="G827" s="5" t="s">
        <v>296</v>
      </c>
      <c r="H827" s="5"/>
      <c r="I827" s="8">
        <f t="shared" si="7"/>
        <v>8</v>
      </c>
      <c r="J827" s="8">
        <f t="shared" si="8"/>
        <v>2025</v>
      </c>
      <c r="K827" s="8" t="str">
        <f t="shared" si="3"/>
        <v>2025 - 8</v>
      </c>
    </row>
    <row r="828" outlineLevel="1">
      <c r="A828" s="2">
        <v>824.0</v>
      </c>
      <c r="B828" s="3">
        <v>45874.0</v>
      </c>
      <c r="C828" s="5" t="s">
        <v>18</v>
      </c>
      <c r="D828" s="5" t="s">
        <v>39</v>
      </c>
      <c r="E828" s="6">
        <v>-521.8</v>
      </c>
      <c r="F828" s="7">
        <f t="shared" si="4"/>
        <v>108321.87</v>
      </c>
      <c r="G828" s="5" t="s">
        <v>322</v>
      </c>
      <c r="H828" s="5"/>
      <c r="I828" s="8">
        <f t="shared" si="7"/>
        <v>8</v>
      </c>
      <c r="J828" s="8">
        <f t="shared" si="8"/>
        <v>2025</v>
      </c>
      <c r="K828" s="8" t="str">
        <f t="shared" si="3"/>
        <v>2025 - 8</v>
      </c>
    </row>
    <row r="829" outlineLevel="1">
      <c r="A829" s="2">
        <v>825.0</v>
      </c>
      <c r="B829" s="3">
        <v>45874.0</v>
      </c>
      <c r="C829" s="5" t="s">
        <v>16</v>
      </c>
      <c r="D829" s="5" t="s">
        <v>10</v>
      </c>
      <c r="E829" s="6">
        <v>-4246.0</v>
      </c>
      <c r="F829" s="7">
        <f t="shared" si="4"/>
        <v>104075.87</v>
      </c>
      <c r="G829" s="5" t="s">
        <v>174</v>
      </c>
      <c r="H829" s="5"/>
      <c r="I829" s="8">
        <f t="shared" si="7"/>
        <v>8</v>
      </c>
      <c r="J829" s="8">
        <f t="shared" si="8"/>
        <v>2025</v>
      </c>
      <c r="K829" s="8" t="str">
        <f t="shared" si="3"/>
        <v>2025 - 8</v>
      </c>
    </row>
    <row r="830" outlineLevel="1">
      <c r="A830" s="2">
        <v>826.0</v>
      </c>
      <c r="B830" s="3">
        <v>45874.0</v>
      </c>
      <c r="C830" s="5" t="s">
        <v>16</v>
      </c>
      <c r="D830" s="5" t="s">
        <v>10</v>
      </c>
      <c r="E830" s="6">
        <v>-1116.0</v>
      </c>
      <c r="F830" s="7">
        <f t="shared" si="4"/>
        <v>102959.87</v>
      </c>
      <c r="G830" s="5" t="s">
        <v>163</v>
      </c>
      <c r="H830" s="5"/>
      <c r="I830" s="8">
        <f t="shared" si="7"/>
        <v>8</v>
      </c>
      <c r="J830" s="8">
        <f t="shared" si="8"/>
        <v>2025</v>
      </c>
      <c r="K830" s="8" t="str">
        <f t="shared" si="3"/>
        <v>2025 - 8</v>
      </c>
    </row>
    <row r="831" outlineLevel="1">
      <c r="A831" s="2">
        <v>827.0</v>
      </c>
      <c r="B831" s="3">
        <v>45874.0</v>
      </c>
      <c r="C831" s="5" t="s">
        <v>16</v>
      </c>
      <c r="D831" s="5" t="s">
        <v>10</v>
      </c>
      <c r="E831" s="6">
        <v>-50.0</v>
      </c>
      <c r="F831" s="7">
        <f t="shared" si="4"/>
        <v>102909.87</v>
      </c>
      <c r="G831" s="5" t="s">
        <v>163</v>
      </c>
      <c r="H831" s="5"/>
      <c r="I831" s="8">
        <f t="shared" si="7"/>
        <v>8</v>
      </c>
      <c r="J831" s="8">
        <f t="shared" si="8"/>
        <v>2025</v>
      </c>
      <c r="K831" s="8" t="str">
        <f t="shared" si="3"/>
        <v>2025 - 8</v>
      </c>
    </row>
    <row r="832" outlineLevel="1">
      <c r="A832" s="2">
        <v>828.0</v>
      </c>
      <c r="B832" s="3">
        <v>45874.0</v>
      </c>
      <c r="C832" s="5" t="s">
        <v>18</v>
      </c>
      <c r="D832" s="5" t="s">
        <v>10</v>
      </c>
      <c r="E832" s="6">
        <v>-398.9</v>
      </c>
      <c r="F832" s="7">
        <f t="shared" si="4"/>
        <v>102510.97</v>
      </c>
      <c r="G832" s="5" t="s">
        <v>322</v>
      </c>
      <c r="H832" s="5"/>
      <c r="I832" s="8">
        <f t="shared" si="7"/>
        <v>8</v>
      </c>
      <c r="J832" s="8">
        <f t="shared" si="8"/>
        <v>2025</v>
      </c>
      <c r="K832" s="8" t="str">
        <f t="shared" si="3"/>
        <v>2025 - 8</v>
      </c>
    </row>
    <row r="833" outlineLevel="1">
      <c r="A833" s="2">
        <v>829.0</v>
      </c>
      <c r="B833" s="3">
        <v>45875.0</v>
      </c>
      <c r="C833" s="5" t="s">
        <v>18</v>
      </c>
      <c r="D833" s="5" t="s">
        <v>10</v>
      </c>
      <c r="E833" s="6">
        <v>-696.0</v>
      </c>
      <c r="F833" s="7">
        <f t="shared" si="4"/>
        <v>101814.97</v>
      </c>
      <c r="G833" s="5" t="s">
        <v>249</v>
      </c>
      <c r="H833" s="5"/>
      <c r="I833" s="8">
        <f t="shared" si="7"/>
        <v>8</v>
      </c>
      <c r="J833" s="8">
        <f t="shared" si="8"/>
        <v>2025</v>
      </c>
      <c r="K833" s="8" t="str">
        <f t="shared" si="3"/>
        <v>2025 - 8</v>
      </c>
    </row>
    <row r="834" outlineLevel="1">
      <c r="A834" s="2">
        <v>830.0</v>
      </c>
      <c r="B834" s="3">
        <v>45875.0</v>
      </c>
      <c r="C834" s="5" t="s">
        <v>105</v>
      </c>
      <c r="D834" s="5" t="s">
        <v>10</v>
      </c>
      <c r="E834" s="6">
        <v>5000.0</v>
      </c>
      <c r="F834" s="7">
        <f t="shared" si="4"/>
        <v>106814.97</v>
      </c>
      <c r="G834" s="5" t="s">
        <v>70</v>
      </c>
      <c r="H834" s="5"/>
      <c r="I834" s="8">
        <f t="shared" si="7"/>
        <v>8</v>
      </c>
      <c r="J834" s="8">
        <f t="shared" si="8"/>
        <v>2025</v>
      </c>
      <c r="K834" s="8" t="str">
        <f t="shared" si="3"/>
        <v>2025 - 8</v>
      </c>
    </row>
    <row r="835" outlineLevel="1">
      <c r="A835" s="2">
        <v>831.0</v>
      </c>
      <c r="B835" s="3">
        <v>45875.0</v>
      </c>
      <c r="C835" s="5" t="s">
        <v>24</v>
      </c>
      <c r="D835" s="5" t="s">
        <v>10</v>
      </c>
      <c r="E835" s="6">
        <v>100.0</v>
      </c>
      <c r="F835" s="7">
        <f t="shared" si="4"/>
        <v>106914.97</v>
      </c>
      <c r="G835" s="5" t="s">
        <v>323</v>
      </c>
      <c r="H835" s="5"/>
      <c r="I835" s="8">
        <f t="shared" si="7"/>
        <v>8</v>
      </c>
      <c r="J835" s="8">
        <f t="shared" si="8"/>
        <v>2025</v>
      </c>
      <c r="K835" s="8" t="str">
        <f t="shared" si="3"/>
        <v>2025 - 8</v>
      </c>
    </row>
    <row r="836" outlineLevel="1">
      <c r="A836" s="2">
        <v>832.0</v>
      </c>
      <c r="B836" s="3">
        <v>45875.0</v>
      </c>
      <c r="C836" s="5" t="s">
        <v>24</v>
      </c>
      <c r="D836" s="5" t="s">
        <v>10</v>
      </c>
      <c r="E836" s="6">
        <v>110.0</v>
      </c>
      <c r="F836" s="7">
        <f t="shared" si="4"/>
        <v>107024.97</v>
      </c>
      <c r="G836" s="5" t="s">
        <v>319</v>
      </c>
      <c r="H836" s="5"/>
      <c r="I836" s="8">
        <f t="shared" si="7"/>
        <v>8</v>
      </c>
      <c r="J836" s="8">
        <f t="shared" si="8"/>
        <v>2025</v>
      </c>
      <c r="K836" s="8" t="str">
        <f t="shared" si="3"/>
        <v>2025 - 8</v>
      </c>
    </row>
    <row r="837" outlineLevel="1">
      <c r="A837" s="2">
        <v>833.0</v>
      </c>
      <c r="B837" s="3">
        <v>45875.0</v>
      </c>
      <c r="C837" s="5" t="s">
        <v>9</v>
      </c>
      <c r="D837" s="5" t="s">
        <v>10</v>
      </c>
      <c r="E837" s="6">
        <v>1.0</v>
      </c>
      <c r="F837" s="7">
        <f t="shared" si="4"/>
        <v>107025.97</v>
      </c>
      <c r="G837" s="5" t="s">
        <v>70</v>
      </c>
      <c r="H837" s="5"/>
      <c r="I837" s="8">
        <f t="shared" si="7"/>
        <v>8</v>
      </c>
      <c r="J837" s="8">
        <f t="shared" si="8"/>
        <v>2025</v>
      </c>
      <c r="K837" s="8" t="str">
        <f t="shared" si="3"/>
        <v>2025 - 8</v>
      </c>
    </row>
    <row r="838" outlineLevel="1">
      <c r="A838" s="2">
        <v>834.0</v>
      </c>
      <c r="B838" s="3">
        <v>45875.0</v>
      </c>
      <c r="C838" s="5" t="s">
        <v>9</v>
      </c>
      <c r="D838" s="5" t="s">
        <v>10</v>
      </c>
      <c r="E838" s="6">
        <v>-604.0</v>
      </c>
      <c r="F838" s="7">
        <f t="shared" si="4"/>
        <v>106421.97</v>
      </c>
      <c r="G838" s="5" t="s">
        <v>249</v>
      </c>
      <c r="H838" s="5"/>
      <c r="I838" s="8">
        <f t="shared" si="7"/>
        <v>8</v>
      </c>
      <c r="J838" s="8">
        <f t="shared" si="8"/>
        <v>2025</v>
      </c>
      <c r="K838" s="8" t="str">
        <f t="shared" si="3"/>
        <v>2025 - 8</v>
      </c>
    </row>
    <row r="839" outlineLevel="1">
      <c r="A839" s="2">
        <v>835.0</v>
      </c>
      <c r="B839" s="3">
        <v>45876.0</v>
      </c>
      <c r="C839" s="5" t="s">
        <v>24</v>
      </c>
      <c r="D839" s="5" t="s">
        <v>10</v>
      </c>
      <c r="E839" s="6">
        <v>90.0</v>
      </c>
      <c r="F839" s="7">
        <f t="shared" si="4"/>
        <v>106511.97</v>
      </c>
      <c r="G839" s="5" t="s">
        <v>312</v>
      </c>
      <c r="H839" s="5"/>
      <c r="I839" s="8">
        <f t="shared" si="7"/>
        <v>8</v>
      </c>
      <c r="J839" s="8">
        <f t="shared" si="8"/>
        <v>2025</v>
      </c>
      <c r="K839" s="8" t="str">
        <f t="shared" si="3"/>
        <v>2025 - 8</v>
      </c>
    </row>
    <row r="840" outlineLevel="1">
      <c r="A840" s="2">
        <v>836.0</v>
      </c>
      <c r="B840" s="3">
        <v>45876.0</v>
      </c>
      <c r="C840" s="5" t="s">
        <v>18</v>
      </c>
      <c r="D840" s="5" t="s">
        <v>10</v>
      </c>
      <c r="E840" s="6">
        <v>-155.0</v>
      </c>
      <c r="F840" s="7">
        <f t="shared" si="4"/>
        <v>106356.97</v>
      </c>
      <c r="G840" s="5" t="s">
        <v>307</v>
      </c>
      <c r="H840" s="5"/>
      <c r="I840" s="8">
        <f t="shared" si="7"/>
        <v>8</v>
      </c>
      <c r="J840" s="8">
        <f t="shared" si="8"/>
        <v>2025</v>
      </c>
      <c r="K840" s="8" t="str">
        <f t="shared" si="3"/>
        <v>2025 - 8</v>
      </c>
    </row>
    <row r="841" outlineLevel="1">
      <c r="A841" s="2">
        <v>837.0</v>
      </c>
      <c r="B841" s="3">
        <v>45876.0</v>
      </c>
      <c r="C841" s="5" t="s">
        <v>18</v>
      </c>
      <c r="D841" s="5" t="s">
        <v>10</v>
      </c>
      <c r="E841" s="6">
        <v>-75.0</v>
      </c>
      <c r="F841" s="7">
        <f t="shared" si="4"/>
        <v>106281.97</v>
      </c>
      <c r="G841" s="5" t="s">
        <v>307</v>
      </c>
      <c r="H841" s="5"/>
      <c r="I841" s="8">
        <f t="shared" si="7"/>
        <v>8</v>
      </c>
      <c r="J841" s="8">
        <f t="shared" si="8"/>
        <v>2025</v>
      </c>
      <c r="K841" s="8" t="str">
        <f t="shared" si="3"/>
        <v>2025 - 8</v>
      </c>
    </row>
    <row r="842" outlineLevel="1">
      <c r="A842" s="2">
        <v>838.0</v>
      </c>
      <c r="B842" s="3">
        <v>45877.0</v>
      </c>
      <c r="C842" s="5" t="s">
        <v>49</v>
      </c>
      <c r="D842" s="5" t="s">
        <v>10</v>
      </c>
      <c r="E842" s="6">
        <v>-1937.44</v>
      </c>
      <c r="F842" s="7">
        <f t="shared" si="4"/>
        <v>104344.53</v>
      </c>
      <c r="G842" s="5" t="s">
        <v>110</v>
      </c>
      <c r="H842" s="5"/>
      <c r="I842" s="8">
        <f t="shared" si="7"/>
        <v>8</v>
      </c>
      <c r="J842" s="8">
        <f t="shared" si="8"/>
        <v>2025</v>
      </c>
      <c r="K842" s="8" t="str">
        <f t="shared" si="3"/>
        <v>2025 - 8</v>
      </c>
    </row>
    <row r="843" outlineLevel="1">
      <c r="A843" s="2">
        <v>839.0</v>
      </c>
      <c r="B843" s="3">
        <v>45877.0</v>
      </c>
      <c r="C843" s="5" t="s">
        <v>24</v>
      </c>
      <c r="D843" s="5" t="s">
        <v>10</v>
      </c>
      <c r="E843" s="6">
        <v>106.0</v>
      </c>
      <c r="F843" s="7">
        <f t="shared" si="4"/>
        <v>104450.53</v>
      </c>
      <c r="G843" s="5" t="s">
        <v>296</v>
      </c>
      <c r="H843" s="5"/>
      <c r="I843" s="8">
        <f t="shared" si="7"/>
        <v>8</v>
      </c>
      <c r="J843" s="8">
        <f t="shared" si="8"/>
        <v>2025</v>
      </c>
      <c r="K843" s="8" t="str">
        <f t="shared" si="3"/>
        <v>2025 - 8</v>
      </c>
    </row>
    <row r="844" outlineLevel="1">
      <c r="A844" s="2">
        <v>840.0</v>
      </c>
      <c r="B844" s="3">
        <v>45877.0</v>
      </c>
      <c r="C844" s="5" t="s">
        <v>18</v>
      </c>
      <c r="D844" s="5" t="s">
        <v>10</v>
      </c>
      <c r="E844" s="6">
        <v>-300.0</v>
      </c>
      <c r="F844" s="7">
        <f t="shared" si="4"/>
        <v>104150.53</v>
      </c>
      <c r="G844" s="5" t="s">
        <v>307</v>
      </c>
      <c r="H844" s="5"/>
      <c r="I844" s="8">
        <f t="shared" si="7"/>
        <v>8</v>
      </c>
      <c r="J844" s="8">
        <f t="shared" si="8"/>
        <v>2025</v>
      </c>
      <c r="K844" s="8" t="str">
        <f t="shared" si="3"/>
        <v>2025 - 8</v>
      </c>
    </row>
    <row r="845" outlineLevel="1">
      <c r="A845" s="2">
        <v>841.0</v>
      </c>
      <c r="B845" s="3">
        <v>45877.0</v>
      </c>
      <c r="C845" s="5" t="s">
        <v>16</v>
      </c>
      <c r="D845" s="5" t="s">
        <v>10</v>
      </c>
      <c r="E845" s="6">
        <v>-420.0</v>
      </c>
      <c r="F845" s="7">
        <f t="shared" si="4"/>
        <v>103730.53</v>
      </c>
      <c r="G845" s="5"/>
      <c r="H845" s="5"/>
      <c r="I845" s="8">
        <f t="shared" si="7"/>
        <v>8</v>
      </c>
      <c r="J845" s="8">
        <f t="shared" si="8"/>
        <v>2025</v>
      </c>
      <c r="K845" s="8" t="str">
        <f t="shared" si="3"/>
        <v>2025 - 8</v>
      </c>
    </row>
    <row r="846" outlineLevel="1">
      <c r="A846" s="2">
        <v>842.0</v>
      </c>
      <c r="B846" s="3">
        <v>45878.0</v>
      </c>
      <c r="C846" s="5" t="s">
        <v>9</v>
      </c>
      <c r="D846" s="5" t="s">
        <v>10</v>
      </c>
      <c r="E846" s="6">
        <v>500.0</v>
      </c>
      <c r="F846" s="7">
        <f t="shared" si="4"/>
        <v>104230.53</v>
      </c>
      <c r="G846" s="5"/>
      <c r="H846" s="5"/>
      <c r="I846" s="8">
        <f t="shared" si="7"/>
        <v>8</v>
      </c>
      <c r="J846" s="8">
        <f t="shared" si="8"/>
        <v>2025</v>
      </c>
      <c r="K846" s="8" t="str">
        <f t="shared" si="3"/>
        <v>2025 - 8</v>
      </c>
    </row>
    <row r="847" outlineLevel="1">
      <c r="A847" s="2">
        <v>843.0</v>
      </c>
      <c r="B847" s="3">
        <v>45878.0</v>
      </c>
      <c r="C847" s="5" t="s">
        <v>9</v>
      </c>
      <c r="D847" s="5" t="s">
        <v>10</v>
      </c>
      <c r="E847" s="6">
        <v>-300.0</v>
      </c>
      <c r="F847" s="7">
        <f t="shared" si="4"/>
        <v>103930.53</v>
      </c>
      <c r="G847" s="5"/>
      <c r="H847" s="5"/>
      <c r="I847" s="8">
        <f t="shared" si="7"/>
        <v>8</v>
      </c>
      <c r="J847" s="8">
        <f t="shared" si="8"/>
        <v>2025</v>
      </c>
      <c r="K847" s="8" t="str">
        <f t="shared" si="3"/>
        <v>2025 - 8</v>
      </c>
    </row>
    <row r="848" outlineLevel="1">
      <c r="A848" s="2">
        <v>844.0</v>
      </c>
      <c r="B848" s="3">
        <v>45878.0</v>
      </c>
      <c r="C848" s="5" t="s">
        <v>18</v>
      </c>
      <c r="D848" s="5" t="s">
        <v>10</v>
      </c>
      <c r="E848" s="6">
        <v>-300.0</v>
      </c>
      <c r="F848" s="7">
        <f t="shared" si="4"/>
        <v>103630.53</v>
      </c>
      <c r="G848" s="5" t="s">
        <v>288</v>
      </c>
      <c r="H848" s="5"/>
      <c r="I848" s="8">
        <f t="shared" si="7"/>
        <v>8</v>
      </c>
      <c r="J848" s="8">
        <f t="shared" si="8"/>
        <v>2025</v>
      </c>
      <c r="K848" s="8" t="str">
        <f t="shared" si="3"/>
        <v>2025 - 8</v>
      </c>
    </row>
    <row r="849" outlineLevel="1">
      <c r="A849" s="2">
        <v>845.0</v>
      </c>
      <c r="B849" s="3">
        <v>45878.0</v>
      </c>
      <c r="C849" s="5" t="s">
        <v>38</v>
      </c>
      <c r="D849" s="5" t="s">
        <v>10</v>
      </c>
      <c r="E849" s="6">
        <v>-1947.0</v>
      </c>
      <c r="F849" s="7">
        <f t="shared" si="4"/>
        <v>101683.53</v>
      </c>
      <c r="G849" s="5"/>
      <c r="H849" s="5"/>
      <c r="I849" s="8">
        <f t="shared" si="7"/>
        <v>8</v>
      </c>
      <c r="J849" s="8">
        <f t="shared" si="8"/>
        <v>2025</v>
      </c>
      <c r="K849" s="8" t="str">
        <f t="shared" si="3"/>
        <v>2025 - 8</v>
      </c>
    </row>
    <row r="850" outlineLevel="1">
      <c r="A850" s="2">
        <v>846.0</v>
      </c>
      <c r="B850" s="3">
        <v>45878.0</v>
      </c>
      <c r="C850" s="5" t="s">
        <v>9</v>
      </c>
      <c r="D850" s="5" t="s">
        <v>10</v>
      </c>
      <c r="E850" s="6">
        <v>-320.0</v>
      </c>
      <c r="F850" s="7">
        <f t="shared" si="4"/>
        <v>101363.53</v>
      </c>
      <c r="G850" s="5"/>
      <c r="H850" s="5"/>
      <c r="I850" s="8">
        <f t="shared" si="7"/>
        <v>8</v>
      </c>
      <c r="J850" s="8">
        <f t="shared" si="8"/>
        <v>2025</v>
      </c>
      <c r="K850" s="8" t="str">
        <f t="shared" si="3"/>
        <v>2025 - 8</v>
      </c>
    </row>
    <row r="851" outlineLevel="1">
      <c r="A851" s="2">
        <v>847.0</v>
      </c>
      <c r="B851" s="3">
        <v>45878.0</v>
      </c>
      <c r="C851" s="5" t="s">
        <v>18</v>
      </c>
      <c r="D851" s="5" t="s">
        <v>10</v>
      </c>
      <c r="E851" s="6">
        <v>-155.0</v>
      </c>
      <c r="F851" s="7">
        <f t="shared" si="4"/>
        <v>101208.53</v>
      </c>
      <c r="G851" s="5" t="s">
        <v>307</v>
      </c>
      <c r="H851" s="5"/>
      <c r="I851" s="8">
        <f t="shared" si="7"/>
        <v>8</v>
      </c>
      <c r="J851" s="8">
        <f t="shared" si="8"/>
        <v>2025</v>
      </c>
      <c r="K851" s="8" t="str">
        <f t="shared" si="3"/>
        <v>2025 - 8</v>
      </c>
    </row>
    <row r="852" outlineLevel="1">
      <c r="A852" s="2">
        <v>848.0</v>
      </c>
      <c r="B852" s="3">
        <v>45879.0</v>
      </c>
      <c r="C852" s="5" t="s">
        <v>18</v>
      </c>
      <c r="D852" s="5" t="s">
        <v>10</v>
      </c>
      <c r="E852" s="6">
        <v>-60.0</v>
      </c>
      <c r="F852" s="7">
        <f t="shared" si="4"/>
        <v>101148.53</v>
      </c>
      <c r="G852" s="5" t="s">
        <v>307</v>
      </c>
      <c r="H852" s="5"/>
      <c r="I852" s="8">
        <f t="shared" si="7"/>
        <v>8</v>
      </c>
      <c r="J852" s="8">
        <f t="shared" si="8"/>
        <v>2025</v>
      </c>
      <c r="K852" s="8" t="str">
        <f t="shared" si="3"/>
        <v>2025 - 8</v>
      </c>
    </row>
    <row r="853" outlineLevel="1">
      <c r="A853" s="2">
        <v>849.0</v>
      </c>
      <c r="B853" s="3">
        <v>45879.0</v>
      </c>
      <c r="C853" s="5" t="s">
        <v>31</v>
      </c>
      <c r="D853" s="5" t="s">
        <v>10</v>
      </c>
      <c r="E853" s="6">
        <v>-959.0</v>
      </c>
      <c r="F853" s="7">
        <f t="shared" si="4"/>
        <v>100189.53</v>
      </c>
      <c r="G853" s="5" t="s">
        <v>257</v>
      </c>
      <c r="H853" s="5"/>
      <c r="I853" s="8">
        <f t="shared" si="7"/>
        <v>8</v>
      </c>
      <c r="J853" s="8">
        <f t="shared" si="8"/>
        <v>2025</v>
      </c>
      <c r="K853" s="8" t="str">
        <f t="shared" si="3"/>
        <v>2025 - 8</v>
      </c>
    </row>
    <row r="854" outlineLevel="1">
      <c r="A854" s="2">
        <v>850.0</v>
      </c>
      <c r="B854" s="3">
        <v>45879.0</v>
      </c>
      <c r="C854" s="5" t="s">
        <v>18</v>
      </c>
      <c r="D854" s="5" t="s">
        <v>10</v>
      </c>
      <c r="E854" s="6">
        <v>-168.0</v>
      </c>
      <c r="F854" s="7">
        <f t="shared" si="4"/>
        <v>100021.53</v>
      </c>
      <c r="G854" s="5"/>
      <c r="H854" s="5"/>
      <c r="I854" s="8">
        <f t="shared" si="7"/>
        <v>8</v>
      </c>
      <c r="J854" s="8">
        <f t="shared" si="8"/>
        <v>2025</v>
      </c>
      <c r="K854" s="8" t="str">
        <f t="shared" si="3"/>
        <v>2025 - 8</v>
      </c>
    </row>
    <row r="855" outlineLevel="1">
      <c r="A855" s="2">
        <v>851.0</v>
      </c>
      <c r="B855" s="3">
        <v>45880.0</v>
      </c>
      <c r="C855" s="5" t="s">
        <v>16</v>
      </c>
      <c r="D855" s="5" t="s">
        <v>39</v>
      </c>
      <c r="E855" s="6">
        <v>-2753.0</v>
      </c>
      <c r="F855" s="7">
        <f t="shared" si="4"/>
        <v>97268.53</v>
      </c>
      <c r="G855" s="5" t="s">
        <v>324</v>
      </c>
      <c r="H855" s="5"/>
      <c r="I855" s="8">
        <f t="shared" si="7"/>
        <v>8</v>
      </c>
      <c r="J855" s="8">
        <f t="shared" si="8"/>
        <v>2025</v>
      </c>
      <c r="K855" s="8" t="str">
        <f t="shared" si="3"/>
        <v>2025 - 8</v>
      </c>
    </row>
    <row r="856" outlineLevel="1">
      <c r="A856" s="2">
        <v>852.0</v>
      </c>
      <c r="B856" s="3">
        <v>45880.0</v>
      </c>
      <c r="C856" s="5" t="s">
        <v>12</v>
      </c>
      <c r="D856" s="5" t="s">
        <v>10</v>
      </c>
      <c r="E856" s="6">
        <v>-5000.0</v>
      </c>
      <c r="F856" s="7">
        <f t="shared" si="4"/>
        <v>92268.53</v>
      </c>
      <c r="G856" s="5" t="s">
        <v>70</v>
      </c>
      <c r="H856" s="5"/>
      <c r="I856" s="8">
        <f t="shared" si="7"/>
        <v>8</v>
      </c>
      <c r="J856" s="8">
        <f t="shared" si="8"/>
        <v>2025</v>
      </c>
      <c r="K856" s="8" t="str">
        <f t="shared" si="3"/>
        <v>2025 - 8</v>
      </c>
    </row>
    <row r="857" outlineLevel="1">
      <c r="A857" s="2">
        <v>853.0</v>
      </c>
      <c r="B857" s="3">
        <v>45881.0</v>
      </c>
      <c r="C857" s="5" t="s">
        <v>24</v>
      </c>
      <c r="D857" s="5" t="s">
        <v>10</v>
      </c>
      <c r="E857" s="6">
        <v>110.0</v>
      </c>
      <c r="F857" s="7">
        <f t="shared" si="4"/>
        <v>92378.53</v>
      </c>
      <c r="G857" s="5" t="s">
        <v>292</v>
      </c>
      <c r="H857" s="5"/>
      <c r="I857" s="8">
        <f t="shared" si="7"/>
        <v>8</v>
      </c>
      <c r="J857" s="8">
        <f t="shared" si="8"/>
        <v>2025</v>
      </c>
      <c r="K857" s="8" t="str">
        <f t="shared" si="3"/>
        <v>2025 - 8</v>
      </c>
    </row>
    <row r="858" outlineLevel="1">
      <c r="A858" s="2">
        <v>854.0</v>
      </c>
      <c r="B858" s="3">
        <v>45884.0</v>
      </c>
      <c r="C858" s="5" t="s">
        <v>49</v>
      </c>
      <c r="D858" s="5" t="s">
        <v>10</v>
      </c>
      <c r="E858" s="6">
        <v>-649.0</v>
      </c>
      <c r="F858" s="7">
        <f t="shared" si="4"/>
        <v>91729.53</v>
      </c>
      <c r="G858" s="5" t="s">
        <v>50</v>
      </c>
      <c r="H858" s="5"/>
      <c r="I858" s="8">
        <f t="shared" si="7"/>
        <v>8</v>
      </c>
      <c r="J858" s="8">
        <f t="shared" si="8"/>
        <v>2025</v>
      </c>
      <c r="K858" s="8" t="str">
        <f t="shared" si="3"/>
        <v>2025 - 8</v>
      </c>
    </row>
    <row r="859" outlineLevel="1">
      <c r="A859" s="2">
        <v>855.0</v>
      </c>
      <c r="B859" s="3">
        <v>45886.0</v>
      </c>
      <c r="C859" s="5" t="s">
        <v>31</v>
      </c>
      <c r="D859" s="5" t="s">
        <v>10</v>
      </c>
      <c r="E859" s="6">
        <v>-1409.94</v>
      </c>
      <c r="F859" s="7">
        <f t="shared" si="4"/>
        <v>90319.59</v>
      </c>
      <c r="G859" s="5" t="s">
        <v>257</v>
      </c>
      <c r="H859" s="5"/>
      <c r="I859" s="8">
        <f t="shared" si="7"/>
        <v>8</v>
      </c>
      <c r="J859" s="8">
        <f t="shared" si="8"/>
        <v>2025</v>
      </c>
      <c r="K859" s="8" t="str">
        <f t="shared" si="3"/>
        <v>2025 - 8</v>
      </c>
    </row>
    <row r="860" outlineLevel="1">
      <c r="A860" s="2">
        <v>856.0</v>
      </c>
      <c r="B860" s="3">
        <v>45886.0</v>
      </c>
      <c r="C860" s="5" t="s">
        <v>18</v>
      </c>
      <c r="D860" s="5" t="s">
        <v>10</v>
      </c>
      <c r="E860" s="6">
        <v>-513.5</v>
      </c>
      <c r="F860" s="7">
        <f t="shared" si="4"/>
        <v>89806.09</v>
      </c>
      <c r="G860" s="5" t="s">
        <v>234</v>
      </c>
      <c r="H860" s="5"/>
      <c r="I860" s="8">
        <f t="shared" si="7"/>
        <v>8</v>
      </c>
      <c r="J860" s="8">
        <f t="shared" si="8"/>
        <v>2025</v>
      </c>
      <c r="K860" s="8" t="str">
        <f t="shared" si="3"/>
        <v>2025 - 8</v>
      </c>
    </row>
    <row r="861" outlineLevel="1">
      <c r="A861" s="2">
        <v>857.0</v>
      </c>
      <c r="B861" s="3">
        <v>45887.0</v>
      </c>
      <c r="C861" s="5" t="s">
        <v>16</v>
      </c>
      <c r="D861" s="5" t="s">
        <v>10</v>
      </c>
      <c r="E861" s="6">
        <v>-1169.0</v>
      </c>
      <c r="F861" s="7">
        <f t="shared" si="4"/>
        <v>88637.09</v>
      </c>
      <c r="G861" s="5" t="s">
        <v>163</v>
      </c>
      <c r="H861" s="5"/>
      <c r="I861" s="8">
        <f t="shared" si="7"/>
        <v>8</v>
      </c>
      <c r="J861" s="8">
        <f t="shared" si="8"/>
        <v>2025</v>
      </c>
      <c r="K861" s="8" t="str">
        <f t="shared" si="3"/>
        <v>2025 - 8</v>
      </c>
    </row>
    <row r="862" outlineLevel="1">
      <c r="A862" s="2">
        <v>858.0</v>
      </c>
      <c r="B862" s="3">
        <v>45887.0</v>
      </c>
      <c r="C862" s="5" t="s">
        <v>49</v>
      </c>
      <c r="D862" s="5" t="s">
        <v>10</v>
      </c>
      <c r="E862" s="6">
        <v>-499.0</v>
      </c>
      <c r="F862" s="7">
        <f t="shared" si="4"/>
        <v>88138.09</v>
      </c>
      <c r="G862" s="5" t="s">
        <v>262</v>
      </c>
      <c r="H862" s="5"/>
      <c r="I862" s="8">
        <f t="shared" si="7"/>
        <v>8</v>
      </c>
      <c r="J862" s="8">
        <f t="shared" si="8"/>
        <v>2025</v>
      </c>
      <c r="K862" s="8" t="str">
        <f t="shared" si="3"/>
        <v>2025 - 8</v>
      </c>
    </row>
    <row r="863" outlineLevel="1">
      <c r="A863" s="2">
        <v>859.0</v>
      </c>
      <c r="B863" s="3">
        <v>45887.0</v>
      </c>
      <c r="C863" s="5" t="s">
        <v>16</v>
      </c>
      <c r="D863" s="5" t="s">
        <v>10</v>
      </c>
      <c r="E863" s="6">
        <v>-3048.0</v>
      </c>
      <c r="F863" s="7">
        <f t="shared" si="4"/>
        <v>85090.09</v>
      </c>
      <c r="G863" s="5" t="s">
        <v>174</v>
      </c>
      <c r="H863" s="5"/>
      <c r="I863" s="8">
        <f t="shared" si="7"/>
        <v>8</v>
      </c>
      <c r="J863" s="8">
        <f t="shared" si="8"/>
        <v>2025</v>
      </c>
      <c r="K863" s="8" t="str">
        <f t="shared" si="3"/>
        <v>2025 - 8</v>
      </c>
    </row>
    <row r="864" outlineLevel="1">
      <c r="A864" s="2">
        <v>860.0</v>
      </c>
      <c r="B864" s="3">
        <v>45887.0</v>
      </c>
      <c r="C864" s="5" t="s">
        <v>18</v>
      </c>
      <c r="D864" s="5" t="s">
        <v>10</v>
      </c>
      <c r="E864" s="6">
        <v>-668.06</v>
      </c>
      <c r="F864" s="7">
        <f t="shared" si="4"/>
        <v>84422.03</v>
      </c>
      <c r="G864" s="5" t="s">
        <v>234</v>
      </c>
      <c r="H864" s="5"/>
      <c r="I864" s="8">
        <f t="shared" si="7"/>
        <v>8</v>
      </c>
      <c r="J864" s="8">
        <f t="shared" si="8"/>
        <v>2025</v>
      </c>
      <c r="K864" s="8" t="str">
        <f t="shared" si="3"/>
        <v>2025 - 8</v>
      </c>
    </row>
    <row r="865" outlineLevel="1">
      <c r="A865" s="2">
        <v>861.0</v>
      </c>
      <c r="B865" s="3">
        <v>45888.0</v>
      </c>
      <c r="C865" s="5" t="s">
        <v>18</v>
      </c>
      <c r="D865" s="5" t="s">
        <v>10</v>
      </c>
      <c r="E865" s="6">
        <v>-394.0</v>
      </c>
      <c r="F865" s="7">
        <f t="shared" si="4"/>
        <v>84028.03</v>
      </c>
      <c r="G865" s="5" t="s">
        <v>288</v>
      </c>
      <c r="H865" s="5"/>
      <c r="I865" s="8">
        <f t="shared" si="7"/>
        <v>8</v>
      </c>
      <c r="J865" s="8">
        <f t="shared" si="8"/>
        <v>2025</v>
      </c>
      <c r="K865" s="8" t="str">
        <f t="shared" si="3"/>
        <v>2025 - 8</v>
      </c>
    </row>
    <row r="866" outlineLevel="1">
      <c r="A866" s="2">
        <v>862.0</v>
      </c>
      <c r="B866" s="3">
        <v>45889.0</v>
      </c>
      <c r="C866" s="5" t="s">
        <v>18</v>
      </c>
      <c r="D866" s="5" t="s">
        <v>10</v>
      </c>
      <c r="E866" s="6">
        <v>-170.0</v>
      </c>
      <c r="F866" s="7">
        <f t="shared" si="4"/>
        <v>83858.03</v>
      </c>
      <c r="G866" s="5" t="s">
        <v>307</v>
      </c>
      <c r="H866" s="5"/>
      <c r="I866" s="8">
        <f t="shared" si="7"/>
        <v>8</v>
      </c>
      <c r="J866" s="8">
        <f t="shared" si="8"/>
        <v>2025</v>
      </c>
      <c r="K866" s="8" t="str">
        <f t="shared" si="3"/>
        <v>2025 - 8</v>
      </c>
    </row>
    <row r="867" outlineLevel="1">
      <c r="A867" s="2">
        <v>863.0</v>
      </c>
      <c r="B867" s="3">
        <v>45890.0</v>
      </c>
      <c r="C867" s="5" t="s">
        <v>18</v>
      </c>
      <c r="D867" s="5" t="s">
        <v>10</v>
      </c>
      <c r="E867" s="6">
        <v>-489.0</v>
      </c>
      <c r="F867" s="7">
        <f t="shared" si="4"/>
        <v>83369.03</v>
      </c>
      <c r="G867" s="5" t="s">
        <v>238</v>
      </c>
      <c r="H867" s="5"/>
      <c r="I867" s="8">
        <f t="shared" si="7"/>
        <v>8</v>
      </c>
      <c r="J867" s="8">
        <f t="shared" si="8"/>
        <v>2025</v>
      </c>
      <c r="K867" s="8" t="str">
        <f t="shared" si="3"/>
        <v>2025 - 8</v>
      </c>
    </row>
    <row r="868" outlineLevel="1">
      <c r="A868" s="2">
        <v>864.0</v>
      </c>
      <c r="B868" s="3">
        <v>45891.0</v>
      </c>
      <c r="C868" s="5" t="s">
        <v>9</v>
      </c>
      <c r="D868" s="5" t="s">
        <v>10</v>
      </c>
      <c r="E868" s="6">
        <v>-70.0</v>
      </c>
      <c r="F868" s="7">
        <f t="shared" si="4"/>
        <v>83299.03</v>
      </c>
      <c r="H868" s="5"/>
      <c r="I868" s="8">
        <f t="shared" si="7"/>
        <v>8</v>
      </c>
      <c r="J868" s="8">
        <f t="shared" si="8"/>
        <v>2025</v>
      </c>
      <c r="K868" s="8" t="str">
        <f t="shared" si="3"/>
        <v>2025 - 8</v>
      </c>
    </row>
    <row r="869" outlineLevel="1">
      <c r="A869" s="2">
        <v>865.0</v>
      </c>
      <c r="B869" s="3">
        <v>45891.0</v>
      </c>
      <c r="C869" s="5" t="s">
        <v>18</v>
      </c>
      <c r="D869" s="5" t="s">
        <v>10</v>
      </c>
      <c r="E869" s="6">
        <v>-613.3</v>
      </c>
      <c r="F869" s="7">
        <f t="shared" si="4"/>
        <v>82685.73</v>
      </c>
      <c r="G869" s="5" t="s">
        <v>234</v>
      </c>
      <c r="H869" s="5"/>
      <c r="I869" s="8">
        <f t="shared" si="7"/>
        <v>8</v>
      </c>
      <c r="J869" s="8">
        <f t="shared" si="8"/>
        <v>2025</v>
      </c>
      <c r="K869" s="8" t="str">
        <f t="shared" si="3"/>
        <v>2025 - 8</v>
      </c>
    </row>
    <row r="870" outlineLevel="1">
      <c r="A870" s="2">
        <v>866.0</v>
      </c>
      <c r="B870" s="3">
        <v>45892.0</v>
      </c>
      <c r="C870" s="5" t="s">
        <v>9</v>
      </c>
      <c r="D870" s="5" t="s">
        <v>10</v>
      </c>
      <c r="E870" s="6">
        <v>-30.0</v>
      </c>
      <c r="F870" s="7">
        <f t="shared" si="4"/>
        <v>82655.73</v>
      </c>
      <c r="G870" s="5"/>
      <c r="H870" s="5"/>
      <c r="I870" s="8">
        <f t="shared" si="7"/>
        <v>8</v>
      </c>
      <c r="J870" s="8">
        <f t="shared" si="8"/>
        <v>2025</v>
      </c>
      <c r="K870" s="8" t="str">
        <f t="shared" si="3"/>
        <v>2025 - 8</v>
      </c>
    </row>
    <row r="871" outlineLevel="1">
      <c r="A871" s="2">
        <v>867.0</v>
      </c>
      <c r="B871" s="3">
        <v>45892.0</v>
      </c>
      <c r="C871" s="5" t="s">
        <v>18</v>
      </c>
      <c r="D871" s="5" t="s">
        <v>10</v>
      </c>
      <c r="E871" s="6">
        <v>-308.0</v>
      </c>
      <c r="F871" s="7">
        <f t="shared" si="4"/>
        <v>82347.73</v>
      </c>
      <c r="G871" s="5" t="s">
        <v>238</v>
      </c>
      <c r="H871" s="5"/>
      <c r="I871" s="8">
        <f t="shared" si="7"/>
        <v>8</v>
      </c>
      <c r="J871" s="8">
        <f t="shared" si="8"/>
        <v>2025</v>
      </c>
      <c r="K871" s="8" t="str">
        <f t="shared" si="3"/>
        <v>2025 - 8</v>
      </c>
    </row>
    <row r="872" outlineLevel="1">
      <c r="A872" s="2">
        <v>868.0</v>
      </c>
      <c r="B872" s="3">
        <v>45893.0</v>
      </c>
      <c r="C872" s="5" t="s">
        <v>9</v>
      </c>
      <c r="D872" s="5" t="s">
        <v>10</v>
      </c>
      <c r="E872" s="6">
        <v>-552.29</v>
      </c>
      <c r="F872" s="7">
        <f t="shared" si="4"/>
        <v>81795.44</v>
      </c>
      <c r="G872" s="5"/>
      <c r="H872" s="5"/>
      <c r="I872" s="8">
        <f t="shared" si="7"/>
        <v>8</v>
      </c>
      <c r="J872" s="8">
        <f t="shared" si="8"/>
        <v>2025</v>
      </c>
      <c r="K872" s="8" t="str">
        <f t="shared" si="3"/>
        <v>2025 - 8</v>
      </c>
    </row>
    <row r="873" outlineLevel="1">
      <c r="A873" s="2">
        <v>869.0</v>
      </c>
      <c r="B873" s="3">
        <v>45895.0</v>
      </c>
      <c r="C873" s="5" t="s">
        <v>49</v>
      </c>
      <c r="D873" s="5" t="s">
        <v>10</v>
      </c>
      <c r="E873" s="6">
        <v>-299.0</v>
      </c>
      <c r="F873" s="7">
        <f t="shared" si="4"/>
        <v>81496.44</v>
      </c>
      <c r="G873" s="5" t="s">
        <v>118</v>
      </c>
      <c r="H873" s="5"/>
      <c r="I873" s="8">
        <f t="shared" si="7"/>
        <v>8</v>
      </c>
      <c r="J873" s="8">
        <f t="shared" si="8"/>
        <v>2025</v>
      </c>
      <c r="K873" s="8" t="str">
        <f t="shared" si="3"/>
        <v>2025 - 8</v>
      </c>
    </row>
    <row r="874" outlineLevel="1">
      <c r="A874" s="2">
        <v>870.0</v>
      </c>
      <c r="B874" s="3">
        <v>45895.0</v>
      </c>
      <c r="C874" s="5" t="s">
        <v>12</v>
      </c>
      <c r="D874" s="5" t="s">
        <v>10</v>
      </c>
      <c r="E874" s="6">
        <v>-2000.0</v>
      </c>
      <c r="F874" s="7">
        <f t="shared" si="4"/>
        <v>79496.44</v>
      </c>
      <c r="G874" s="5" t="s">
        <v>292</v>
      </c>
      <c r="H874" s="5"/>
      <c r="I874" s="8">
        <f t="shared" si="7"/>
        <v>8</v>
      </c>
      <c r="J874" s="8">
        <f t="shared" si="8"/>
        <v>2025</v>
      </c>
      <c r="K874" s="8" t="str">
        <f t="shared" si="3"/>
        <v>2025 - 8</v>
      </c>
    </row>
    <row r="875" outlineLevel="1">
      <c r="A875" s="2">
        <v>871.0</v>
      </c>
      <c r="B875" s="3">
        <v>45895.0</v>
      </c>
      <c r="C875" s="5" t="s">
        <v>18</v>
      </c>
      <c r="D875" s="5" t="s">
        <v>10</v>
      </c>
      <c r="E875" s="6">
        <v>-164.0</v>
      </c>
      <c r="F875" s="7">
        <f t="shared" si="4"/>
        <v>79332.44</v>
      </c>
      <c r="G875" s="5" t="s">
        <v>288</v>
      </c>
      <c r="H875" s="5"/>
      <c r="I875" s="8">
        <f t="shared" si="7"/>
        <v>8</v>
      </c>
      <c r="J875" s="8">
        <f t="shared" si="8"/>
        <v>2025</v>
      </c>
      <c r="K875" s="8" t="str">
        <f t="shared" si="3"/>
        <v>2025 - 8</v>
      </c>
    </row>
    <row r="876" outlineLevel="1">
      <c r="A876" s="2">
        <v>872.0</v>
      </c>
      <c r="B876" s="3">
        <v>45895.0</v>
      </c>
      <c r="C876" s="5" t="s">
        <v>325</v>
      </c>
      <c r="D876" s="5" t="s">
        <v>10</v>
      </c>
      <c r="E876" s="6">
        <v>5.0</v>
      </c>
      <c r="F876" s="7">
        <f t="shared" si="4"/>
        <v>79337.44</v>
      </c>
      <c r="G876" s="5"/>
      <c r="H876" s="5"/>
      <c r="I876" s="8">
        <f t="shared" si="7"/>
        <v>8</v>
      </c>
      <c r="J876" s="8">
        <f t="shared" si="8"/>
        <v>2025</v>
      </c>
      <c r="K876" s="8" t="str">
        <f t="shared" si="3"/>
        <v>2025 - 8</v>
      </c>
    </row>
    <row r="877" outlineLevel="1">
      <c r="A877" s="2">
        <v>873.0</v>
      </c>
      <c r="B877" s="3">
        <v>45895.0</v>
      </c>
      <c r="C877" s="5" t="s">
        <v>18</v>
      </c>
      <c r="D877" s="5" t="s">
        <v>39</v>
      </c>
      <c r="E877" s="6">
        <v>-923.0</v>
      </c>
      <c r="F877" s="7">
        <f t="shared" si="4"/>
        <v>78414.44</v>
      </c>
      <c r="G877" s="5" t="s">
        <v>288</v>
      </c>
      <c r="H877" s="5"/>
      <c r="I877" s="8">
        <f t="shared" si="7"/>
        <v>8</v>
      </c>
      <c r="J877" s="8">
        <f t="shared" si="8"/>
        <v>2025</v>
      </c>
      <c r="K877" s="8" t="str">
        <f t="shared" si="3"/>
        <v>2025 - 8</v>
      </c>
    </row>
    <row r="878" outlineLevel="1">
      <c r="A878" s="2">
        <v>874.0</v>
      </c>
      <c r="B878" s="3">
        <v>45895.0</v>
      </c>
      <c r="C878" s="5" t="s">
        <v>24</v>
      </c>
      <c r="D878" s="5" t="s">
        <v>10</v>
      </c>
      <c r="E878" s="6">
        <v>279.0</v>
      </c>
      <c r="F878" s="7">
        <f t="shared" si="4"/>
        <v>78693.44</v>
      </c>
      <c r="G878" s="5" t="s">
        <v>289</v>
      </c>
      <c r="H878" s="5"/>
      <c r="I878" s="8">
        <f t="shared" si="7"/>
        <v>8</v>
      </c>
      <c r="J878" s="8">
        <f t="shared" si="8"/>
        <v>2025</v>
      </c>
      <c r="K878" s="8" t="str">
        <f t="shared" si="3"/>
        <v>2025 - 8</v>
      </c>
    </row>
    <row r="879" outlineLevel="1">
      <c r="A879" s="2">
        <v>875.0</v>
      </c>
      <c r="B879" s="3">
        <v>45895.0</v>
      </c>
      <c r="C879" s="5" t="s">
        <v>24</v>
      </c>
      <c r="D879" s="5" t="s">
        <v>10</v>
      </c>
      <c r="E879" s="6">
        <v>360.0</v>
      </c>
      <c r="F879" s="7">
        <f t="shared" si="4"/>
        <v>79053.44</v>
      </c>
      <c r="G879" s="5" t="s">
        <v>266</v>
      </c>
      <c r="H879" s="5"/>
      <c r="I879" s="8">
        <f t="shared" si="7"/>
        <v>8</v>
      </c>
      <c r="J879" s="8">
        <f t="shared" si="8"/>
        <v>2025</v>
      </c>
      <c r="K879" s="8" t="str">
        <f t="shared" si="3"/>
        <v>2025 - 8</v>
      </c>
    </row>
    <row r="880" outlineLevel="1">
      <c r="A880" s="2">
        <v>876.0</v>
      </c>
      <c r="B880" s="3">
        <v>45895.0</v>
      </c>
      <c r="C880" s="5" t="s">
        <v>326</v>
      </c>
      <c r="D880" s="5" t="s">
        <v>10</v>
      </c>
      <c r="E880" s="6">
        <v>-3526.0</v>
      </c>
      <c r="F880" s="7">
        <f t="shared" si="4"/>
        <v>75527.44</v>
      </c>
      <c r="G880" s="5" t="s">
        <v>327</v>
      </c>
      <c r="H880" s="5"/>
      <c r="I880" s="8">
        <f t="shared" si="7"/>
        <v>8</v>
      </c>
      <c r="J880" s="8">
        <f t="shared" si="8"/>
        <v>2025</v>
      </c>
      <c r="K880" s="8" t="str">
        <f t="shared" si="3"/>
        <v>2025 - 8</v>
      </c>
    </row>
    <row r="881" outlineLevel="1">
      <c r="A881" s="2">
        <v>877.0</v>
      </c>
      <c r="B881" s="3">
        <v>45895.0</v>
      </c>
      <c r="C881" s="5" t="s">
        <v>326</v>
      </c>
      <c r="D881" s="5" t="s">
        <v>10</v>
      </c>
      <c r="E881" s="6">
        <v>-1599.0</v>
      </c>
      <c r="F881" s="7">
        <f t="shared" si="4"/>
        <v>73928.44</v>
      </c>
      <c r="G881" s="5" t="s">
        <v>328</v>
      </c>
      <c r="H881" s="5"/>
      <c r="I881" s="8">
        <f t="shared" si="7"/>
        <v>8</v>
      </c>
      <c r="J881" s="8">
        <f t="shared" si="8"/>
        <v>2025</v>
      </c>
      <c r="K881" s="8" t="str">
        <f t="shared" si="3"/>
        <v>2025 - 8</v>
      </c>
    </row>
    <row r="882" outlineLevel="1">
      <c r="A882" s="2">
        <v>878.0</v>
      </c>
      <c r="B882" s="3">
        <v>45895.0</v>
      </c>
      <c r="C882" s="5" t="s">
        <v>326</v>
      </c>
      <c r="D882" s="5" t="s">
        <v>10</v>
      </c>
      <c r="E882" s="6">
        <v>-658.5</v>
      </c>
      <c r="F882" s="7">
        <f t="shared" si="4"/>
        <v>73269.94</v>
      </c>
      <c r="G882" s="5" t="s">
        <v>329</v>
      </c>
      <c r="H882" s="5"/>
      <c r="I882" s="8">
        <f t="shared" si="7"/>
        <v>8</v>
      </c>
      <c r="J882" s="8">
        <f t="shared" si="8"/>
        <v>2025</v>
      </c>
      <c r="K882" s="8" t="str">
        <f t="shared" si="3"/>
        <v>2025 - 8</v>
      </c>
    </row>
    <row r="883" outlineLevel="1">
      <c r="A883" s="2">
        <v>879.0</v>
      </c>
      <c r="B883" s="3">
        <v>45896.0</v>
      </c>
      <c r="C883" s="5" t="s">
        <v>16</v>
      </c>
      <c r="D883" s="5" t="s">
        <v>10</v>
      </c>
      <c r="E883" s="6">
        <v>-272.0</v>
      </c>
      <c r="F883" s="7">
        <f t="shared" si="4"/>
        <v>72997.94</v>
      </c>
      <c r="G883" s="5"/>
      <c r="H883" s="5"/>
      <c r="I883" s="8">
        <f t="shared" si="7"/>
        <v>8</v>
      </c>
      <c r="J883" s="8">
        <f t="shared" si="8"/>
        <v>2025</v>
      </c>
      <c r="K883" s="8" t="str">
        <f t="shared" si="3"/>
        <v>2025 - 8</v>
      </c>
    </row>
    <row r="884" outlineLevel="1">
      <c r="A884" s="2">
        <v>880.0</v>
      </c>
      <c r="B884" s="3">
        <v>45896.0</v>
      </c>
      <c r="C884" s="5" t="s">
        <v>16</v>
      </c>
      <c r="D884" s="5" t="s">
        <v>10</v>
      </c>
      <c r="E884" s="6">
        <v>-1960.0</v>
      </c>
      <c r="F884" s="7">
        <f t="shared" si="4"/>
        <v>71037.94</v>
      </c>
      <c r="G884" s="5" t="s">
        <v>163</v>
      </c>
      <c r="H884" s="5"/>
      <c r="I884" s="8">
        <f t="shared" si="7"/>
        <v>8</v>
      </c>
      <c r="J884" s="8">
        <f t="shared" si="8"/>
        <v>2025</v>
      </c>
      <c r="K884" s="8" t="str">
        <f t="shared" si="3"/>
        <v>2025 - 8</v>
      </c>
    </row>
    <row r="885" outlineLevel="1">
      <c r="A885" s="2">
        <v>881.0</v>
      </c>
      <c r="B885" s="3">
        <v>45896.0</v>
      </c>
      <c r="C885" s="5" t="s">
        <v>18</v>
      </c>
      <c r="D885" s="5" t="s">
        <v>10</v>
      </c>
      <c r="E885" s="6">
        <v>-567.4</v>
      </c>
      <c r="F885" s="7">
        <f t="shared" si="4"/>
        <v>70470.54</v>
      </c>
      <c r="G885" s="5" t="s">
        <v>234</v>
      </c>
      <c r="H885" s="5"/>
      <c r="I885" s="8">
        <f t="shared" si="7"/>
        <v>8</v>
      </c>
      <c r="J885" s="8">
        <f t="shared" si="8"/>
        <v>2025</v>
      </c>
      <c r="K885" s="8" t="str">
        <f t="shared" si="3"/>
        <v>2025 - 8</v>
      </c>
    </row>
    <row r="886" outlineLevel="1">
      <c r="A886" s="2">
        <v>882.0</v>
      </c>
      <c r="B886" s="3">
        <v>45899.0</v>
      </c>
      <c r="C886" s="5" t="s">
        <v>18</v>
      </c>
      <c r="D886" s="5" t="s">
        <v>10</v>
      </c>
      <c r="E886" s="6">
        <v>-383.76</v>
      </c>
      <c r="F886" s="7">
        <f t="shared" si="4"/>
        <v>70086.78</v>
      </c>
      <c r="G886" s="5"/>
      <c r="H886" s="5"/>
      <c r="I886" s="8">
        <f t="shared" si="7"/>
        <v>8</v>
      </c>
      <c r="J886" s="8">
        <f t="shared" si="8"/>
        <v>2025</v>
      </c>
      <c r="K886" s="8" t="str">
        <f t="shared" si="3"/>
        <v>2025 - 8</v>
      </c>
    </row>
    <row r="887" outlineLevel="1">
      <c r="A887" s="2">
        <v>883.0</v>
      </c>
      <c r="B887" s="3">
        <v>45899.0</v>
      </c>
      <c r="C887" s="5" t="s">
        <v>16</v>
      </c>
      <c r="D887" s="5" t="s">
        <v>10</v>
      </c>
      <c r="E887" s="6">
        <v>-255.0</v>
      </c>
      <c r="F887" s="7">
        <f t="shared" si="4"/>
        <v>69831.78</v>
      </c>
      <c r="G887" s="5"/>
      <c r="H887" s="5"/>
      <c r="I887" s="8">
        <f t="shared" si="7"/>
        <v>8</v>
      </c>
      <c r="J887" s="8">
        <f t="shared" si="8"/>
        <v>2025</v>
      </c>
      <c r="K887" s="8" t="str">
        <f t="shared" si="3"/>
        <v>2025 - 8</v>
      </c>
    </row>
    <row r="888" outlineLevel="1">
      <c r="A888" s="2">
        <v>884.0</v>
      </c>
      <c r="B888" s="3">
        <v>45899.0</v>
      </c>
      <c r="C888" s="5" t="s">
        <v>325</v>
      </c>
      <c r="D888" s="5" t="s">
        <v>10</v>
      </c>
      <c r="E888" s="6">
        <v>2.0</v>
      </c>
      <c r="F888" s="7">
        <f t="shared" si="4"/>
        <v>69833.78</v>
      </c>
      <c r="G888" s="5"/>
      <c r="H888" s="5"/>
      <c r="I888" s="8">
        <f t="shared" si="7"/>
        <v>8</v>
      </c>
      <c r="J888" s="8">
        <f t="shared" si="8"/>
        <v>2025</v>
      </c>
      <c r="K888" s="8" t="str">
        <f t="shared" si="3"/>
        <v>2025 - 8</v>
      </c>
    </row>
    <row r="889" outlineLevel="1">
      <c r="A889" s="2">
        <v>885.0</v>
      </c>
      <c r="B889" s="3">
        <v>45900.0</v>
      </c>
      <c r="C889" s="5" t="s">
        <v>16</v>
      </c>
      <c r="D889" s="5" t="s">
        <v>10</v>
      </c>
      <c r="E889" s="6">
        <v>-1834.0</v>
      </c>
      <c r="F889" s="7">
        <f t="shared" si="4"/>
        <v>67999.78</v>
      </c>
      <c r="G889" s="5" t="s">
        <v>330</v>
      </c>
      <c r="H889" s="5"/>
      <c r="I889" s="8">
        <f t="shared" si="7"/>
        <v>8</v>
      </c>
      <c r="J889" s="8">
        <f t="shared" si="8"/>
        <v>2025</v>
      </c>
      <c r="K889" s="8" t="str">
        <f t="shared" si="3"/>
        <v>2025 - 8</v>
      </c>
    </row>
    <row r="890" outlineLevel="1">
      <c r="A890" s="2">
        <v>886.0</v>
      </c>
      <c r="B890" s="3">
        <v>45900.0</v>
      </c>
      <c r="C890" s="5" t="s">
        <v>12</v>
      </c>
      <c r="D890" s="5" t="s">
        <v>10</v>
      </c>
      <c r="E890" s="6">
        <v>-10000.0</v>
      </c>
      <c r="F890" s="7">
        <f t="shared" si="4"/>
        <v>57999.78</v>
      </c>
      <c r="G890" s="5" t="s">
        <v>70</v>
      </c>
      <c r="H890" s="5"/>
      <c r="I890" s="8">
        <f t="shared" si="7"/>
        <v>8</v>
      </c>
      <c r="J890" s="8">
        <f t="shared" si="8"/>
        <v>2025</v>
      </c>
      <c r="K890" s="8" t="str">
        <f t="shared" si="3"/>
        <v>2025 - 8</v>
      </c>
    </row>
    <row r="891" outlineLevel="1">
      <c r="A891" s="2">
        <v>887.0</v>
      </c>
      <c r="B891" s="3">
        <v>45900.0</v>
      </c>
      <c r="C891" s="5" t="s">
        <v>18</v>
      </c>
      <c r="D891" s="5" t="s">
        <v>10</v>
      </c>
      <c r="E891" s="6">
        <v>-550.97</v>
      </c>
      <c r="F891" s="7">
        <f t="shared" si="4"/>
        <v>57448.81</v>
      </c>
      <c r="G891" s="5" t="s">
        <v>234</v>
      </c>
      <c r="H891" s="5"/>
      <c r="I891" s="8">
        <f t="shared" si="7"/>
        <v>8</v>
      </c>
      <c r="J891" s="8">
        <f t="shared" si="8"/>
        <v>2025</v>
      </c>
      <c r="K891" s="8" t="str">
        <f t="shared" si="3"/>
        <v>2025 - 8</v>
      </c>
    </row>
    <row r="892" outlineLevel="1">
      <c r="A892" s="2">
        <v>888.0</v>
      </c>
      <c r="B892" s="3">
        <v>45900.0</v>
      </c>
      <c r="C892" s="5" t="s">
        <v>18</v>
      </c>
      <c r="D892" s="5" t="s">
        <v>10</v>
      </c>
      <c r="E892" s="6">
        <v>-329.0</v>
      </c>
      <c r="F892" s="7">
        <f t="shared" si="4"/>
        <v>57119.81</v>
      </c>
      <c r="G892" s="5"/>
      <c r="H892" s="5"/>
      <c r="I892" s="8">
        <f t="shared" si="7"/>
        <v>8</v>
      </c>
      <c r="J892" s="8">
        <f t="shared" si="8"/>
        <v>2025</v>
      </c>
      <c r="K892" s="8" t="str">
        <f t="shared" si="3"/>
        <v>2025 - 8</v>
      </c>
    </row>
    <row r="893">
      <c r="A893" s="13">
        <v>889.0</v>
      </c>
      <c r="B893" s="14">
        <v>45901.0</v>
      </c>
      <c r="C893" s="15" t="s">
        <v>101</v>
      </c>
      <c r="D893" s="15" t="s">
        <v>10</v>
      </c>
      <c r="E893" s="16">
        <v>106696.0</v>
      </c>
      <c r="F893" s="17">
        <f t="shared" si="4"/>
        <v>163815.81</v>
      </c>
      <c r="G893" s="15"/>
      <c r="H893" s="15"/>
      <c r="I893" s="18">
        <f t="shared" si="7"/>
        <v>9</v>
      </c>
      <c r="J893" s="18">
        <f t="shared" si="8"/>
        <v>2025</v>
      </c>
      <c r="K893" s="18" t="str">
        <f t="shared" si="3"/>
        <v>2025 - 9</v>
      </c>
    </row>
    <row r="894">
      <c r="A894" s="2">
        <v>890.0</v>
      </c>
      <c r="B894" s="3">
        <v>45901.0</v>
      </c>
      <c r="C894" s="5" t="s">
        <v>18</v>
      </c>
      <c r="D894" s="5" t="s">
        <v>10</v>
      </c>
      <c r="E894" s="6">
        <v>-60.0</v>
      </c>
      <c r="F894" s="7">
        <f t="shared" si="4"/>
        <v>163755.81</v>
      </c>
      <c r="G894" s="5" t="s">
        <v>331</v>
      </c>
      <c r="H894" s="5"/>
      <c r="I894" s="8">
        <f t="shared" si="7"/>
        <v>9</v>
      </c>
      <c r="J894" s="8">
        <f t="shared" si="8"/>
        <v>2025</v>
      </c>
      <c r="K894" s="8" t="str">
        <f t="shared" si="3"/>
        <v>2025 - 9</v>
      </c>
    </row>
    <row r="895">
      <c r="A895" s="2">
        <v>891.0</v>
      </c>
      <c r="B895" s="3">
        <v>45901.0</v>
      </c>
      <c r="C895" s="5" t="s">
        <v>18</v>
      </c>
      <c r="D895" s="5" t="s">
        <v>10</v>
      </c>
      <c r="E895" s="6">
        <v>-140.0</v>
      </c>
      <c r="F895" s="7">
        <f t="shared" si="4"/>
        <v>163615.81</v>
      </c>
      <c r="G895" s="5" t="s">
        <v>331</v>
      </c>
      <c r="H895" s="5"/>
      <c r="I895" s="8">
        <f t="shared" si="7"/>
        <v>9</v>
      </c>
      <c r="J895" s="8">
        <f t="shared" si="8"/>
        <v>2025</v>
      </c>
      <c r="K895" s="8" t="str">
        <f t="shared" si="3"/>
        <v>2025 - 9</v>
      </c>
    </row>
    <row r="896">
      <c r="A896" s="2">
        <v>892.0</v>
      </c>
      <c r="B896" s="3">
        <v>45901.0</v>
      </c>
      <c r="C896" s="5" t="s">
        <v>16</v>
      </c>
      <c r="D896" s="5" t="s">
        <v>10</v>
      </c>
      <c r="E896" s="6">
        <v>-215.47</v>
      </c>
      <c r="F896" s="7">
        <f t="shared" si="4"/>
        <v>163400.34</v>
      </c>
      <c r="G896" s="5" t="s">
        <v>240</v>
      </c>
      <c r="H896" s="5"/>
      <c r="I896" s="8">
        <f t="shared" si="7"/>
        <v>9</v>
      </c>
      <c r="J896" s="8">
        <f t="shared" si="8"/>
        <v>2025</v>
      </c>
      <c r="K896" s="8" t="str">
        <f t="shared" si="3"/>
        <v>2025 - 9</v>
      </c>
    </row>
    <row r="897">
      <c r="A897" s="2">
        <v>893.0</v>
      </c>
      <c r="B897" s="3">
        <v>45901.0</v>
      </c>
      <c r="C897" s="5" t="s">
        <v>16</v>
      </c>
      <c r="D897" s="5" t="s">
        <v>10</v>
      </c>
      <c r="E897" s="6">
        <v>-1215.67</v>
      </c>
      <c r="F897" s="7">
        <f t="shared" si="4"/>
        <v>162184.67</v>
      </c>
      <c r="G897" s="5"/>
      <c r="H897" s="5"/>
      <c r="I897" s="8">
        <f t="shared" si="7"/>
        <v>9</v>
      </c>
      <c r="J897" s="8">
        <f t="shared" si="8"/>
        <v>2025</v>
      </c>
      <c r="K897" s="8" t="str">
        <f t="shared" si="3"/>
        <v>2025 - 9</v>
      </c>
    </row>
    <row r="898">
      <c r="A898" s="2">
        <v>894.0</v>
      </c>
      <c r="B898" s="3">
        <v>45902.0</v>
      </c>
      <c r="C898" s="5" t="s">
        <v>18</v>
      </c>
      <c r="D898" s="5" t="s">
        <v>10</v>
      </c>
      <c r="E898" s="6">
        <v>-582.26</v>
      </c>
      <c r="F898" s="7">
        <f t="shared" si="4"/>
        <v>161602.41</v>
      </c>
      <c r="G898" s="5" t="s">
        <v>234</v>
      </c>
      <c r="H898" s="5"/>
      <c r="I898" s="8">
        <f t="shared" si="7"/>
        <v>9</v>
      </c>
      <c r="J898" s="8">
        <f t="shared" si="8"/>
        <v>2025</v>
      </c>
      <c r="K898" s="8" t="str">
        <f t="shared" si="3"/>
        <v>2025 - 9</v>
      </c>
    </row>
    <row r="899">
      <c r="A899" s="2">
        <v>895.0</v>
      </c>
      <c r="B899" s="3">
        <v>45902.0</v>
      </c>
      <c r="C899" s="5" t="s">
        <v>9</v>
      </c>
      <c r="D899" s="5" t="s">
        <v>10</v>
      </c>
      <c r="E899" s="6">
        <v>-50.0</v>
      </c>
      <c r="F899" s="7">
        <f t="shared" si="4"/>
        <v>161552.41</v>
      </c>
      <c r="G899" s="5" t="s">
        <v>332</v>
      </c>
      <c r="H899" s="5"/>
      <c r="I899" s="8">
        <f t="shared" si="7"/>
        <v>9</v>
      </c>
      <c r="J899" s="8">
        <f t="shared" si="8"/>
        <v>2025</v>
      </c>
      <c r="K899" s="8" t="str">
        <f t="shared" si="3"/>
        <v>2025 - 9</v>
      </c>
    </row>
    <row r="900">
      <c r="A900" s="2">
        <v>896.0</v>
      </c>
      <c r="B900" s="3">
        <v>45902.0</v>
      </c>
      <c r="C900" s="5" t="s">
        <v>18</v>
      </c>
      <c r="D900" s="5" t="s">
        <v>10</v>
      </c>
      <c r="E900" s="6">
        <v>-1270.16</v>
      </c>
      <c r="F900" s="7">
        <f t="shared" si="4"/>
        <v>160282.25</v>
      </c>
      <c r="G900" s="5" t="s">
        <v>234</v>
      </c>
      <c r="H900" s="5"/>
      <c r="I900" s="8">
        <f t="shared" si="7"/>
        <v>9</v>
      </c>
      <c r="J900" s="8">
        <f t="shared" si="8"/>
        <v>2025</v>
      </c>
      <c r="K900" s="8" t="str">
        <f t="shared" si="3"/>
        <v>2025 - 9</v>
      </c>
    </row>
    <row r="901">
      <c r="A901" s="2">
        <v>897.0</v>
      </c>
      <c r="B901" s="3">
        <v>45903.0</v>
      </c>
      <c r="C901" s="5" t="s">
        <v>18</v>
      </c>
      <c r="D901" s="5" t="s">
        <v>10</v>
      </c>
      <c r="E901" s="6">
        <v>-357.0</v>
      </c>
      <c r="F901" s="7">
        <f t="shared" si="4"/>
        <v>159925.25</v>
      </c>
      <c r="G901" s="5" t="s">
        <v>246</v>
      </c>
      <c r="H901" s="5"/>
      <c r="I901" s="8">
        <f t="shared" si="7"/>
        <v>9</v>
      </c>
      <c r="J901" s="8">
        <f t="shared" si="8"/>
        <v>2025</v>
      </c>
      <c r="K901" s="8" t="str">
        <f t="shared" si="3"/>
        <v>2025 - 9</v>
      </c>
    </row>
    <row r="902">
      <c r="A902" s="2">
        <v>898.0</v>
      </c>
      <c r="B902" s="3">
        <v>45903.0</v>
      </c>
      <c r="C902" s="5" t="s">
        <v>9</v>
      </c>
      <c r="D902" s="5" t="s">
        <v>10</v>
      </c>
      <c r="E902" s="6">
        <v>-170.0</v>
      </c>
      <c r="F902" s="7">
        <f t="shared" si="4"/>
        <v>159755.25</v>
      </c>
      <c r="G902" s="5" t="s">
        <v>333</v>
      </c>
      <c r="H902" s="5"/>
      <c r="I902" s="8">
        <f t="shared" si="7"/>
        <v>9</v>
      </c>
      <c r="J902" s="8">
        <f t="shared" si="8"/>
        <v>2025</v>
      </c>
      <c r="K902" s="8" t="str">
        <f t="shared" si="3"/>
        <v>2025 - 9</v>
      </c>
    </row>
    <row r="903">
      <c r="A903" s="2">
        <v>899.0</v>
      </c>
      <c r="B903" s="3">
        <v>45903.0</v>
      </c>
      <c r="C903" s="5" t="s">
        <v>227</v>
      </c>
      <c r="D903" s="5" t="s">
        <v>10</v>
      </c>
      <c r="E903" s="6">
        <v>-20000.0</v>
      </c>
      <c r="F903" s="7">
        <f t="shared" si="4"/>
        <v>139755.25</v>
      </c>
      <c r="G903" s="5"/>
      <c r="H903" s="5"/>
      <c r="I903" s="8">
        <f t="shared" si="7"/>
        <v>9</v>
      </c>
      <c r="J903" s="8">
        <f t="shared" si="8"/>
        <v>2025</v>
      </c>
      <c r="K903" s="8" t="str">
        <f t="shared" si="3"/>
        <v>2025 - 9</v>
      </c>
    </row>
    <row r="904">
      <c r="A904" s="2">
        <v>900.0</v>
      </c>
      <c r="B904" s="3">
        <v>45903.0</v>
      </c>
      <c r="C904" s="5" t="s">
        <v>49</v>
      </c>
      <c r="D904" s="5" t="s">
        <v>10</v>
      </c>
      <c r="E904" s="6">
        <v>-96.0</v>
      </c>
      <c r="F904" s="7">
        <f t="shared" si="4"/>
        <v>139659.25</v>
      </c>
      <c r="G904" s="5" t="s">
        <v>334</v>
      </c>
      <c r="H904" s="5"/>
      <c r="I904" s="8">
        <f t="shared" si="7"/>
        <v>9</v>
      </c>
      <c r="J904" s="8">
        <f t="shared" si="8"/>
        <v>2025</v>
      </c>
      <c r="K904" s="8" t="str">
        <f t="shared" si="3"/>
        <v>2025 - 9</v>
      </c>
    </row>
    <row r="905">
      <c r="A905" s="2">
        <v>901.0</v>
      </c>
      <c r="B905" s="3">
        <v>45903.0</v>
      </c>
      <c r="C905" s="5" t="s">
        <v>9</v>
      </c>
      <c r="D905" s="5" t="s">
        <v>10</v>
      </c>
      <c r="E905" s="6">
        <v>1.39</v>
      </c>
      <c r="F905" s="7">
        <f t="shared" si="4"/>
        <v>139660.64</v>
      </c>
      <c r="G905" s="5" t="s">
        <v>325</v>
      </c>
      <c r="H905" s="5"/>
      <c r="I905" s="8">
        <f t="shared" si="7"/>
        <v>9</v>
      </c>
      <c r="J905" s="8">
        <f t="shared" si="8"/>
        <v>2025</v>
      </c>
      <c r="K905" s="8" t="str">
        <f t="shared" si="3"/>
        <v>2025 - 9</v>
      </c>
    </row>
    <row r="906">
      <c r="A906" s="2">
        <v>902.0</v>
      </c>
      <c r="B906" s="3">
        <v>45904.0</v>
      </c>
      <c r="C906" s="5" t="s">
        <v>38</v>
      </c>
      <c r="D906" s="5" t="s">
        <v>39</v>
      </c>
      <c r="E906" s="6">
        <v>-1903.42</v>
      </c>
      <c r="F906" s="7">
        <f t="shared" si="4"/>
        <v>137757.22</v>
      </c>
      <c r="G906" s="5" t="s">
        <v>335</v>
      </c>
      <c r="H906" s="5"/>
      <c r="I906" s="8">
        <f t="shared" si="7"/>
        <v>9</v>
      </c>
      <c r="J906" s="8">
        <f t="shared" si="8"/>
        <v>2025</v>
      </c>
      <c r="K906" s="8" t="str">
        <f t="shared" si="3"/>
        <v>2025 - 9</v>
      </c>
    </row>
    <row r="907">
      <c r="A907" s="2">
        <v>903.0</v>
      </c>
      <c r="B907" s="3">
        <v>45904.0</v>
      </c>
      <c r="C907" s="5" t="s">
        <v>18</v>
      </c>
      <c r="D907" s="5" t="s">
        <v>39</v>
      </c>
      <c r="E907" s="6">
        <v>-1640.0</v>
      </c>
      <c r="F907" s="7">
        <f t="shared" si="4"/>
        <v>136117.22</v>
      </c>
      <c r="G907" s="5" t="s">
        <v>139</v>
      </c>
      <c r="H907" s="5"/>
      <c r="I907" s="8">
        <f t="shared" si="7"/>
        <v>9</v>
      </c>
      <c r="J907" s="8">
        <f t="shared" si="8"/>
        <v>2025</v>
      </c>
      <c r="K907" s="8" t="str">
        <f t="shared" si="3"/>
        <v>2025 - 9</v>
      </c>
    </row>
    <row r="908">
      <c r="A908" s="2">
        <v>904.0</v>
      </c>
      <c r="B908" s="3">
        <v>45904.0</v>
      </c>
      <c r="C908" s="5" t="s">
        <v>24</v>
      </c>
      <c r="D908" s="5" t="s">
        <v>10</v>
      </c>
      <c r="E908" s="6">
        <v>285.0</v>
      </c>
      <c r="F908" s="7">
        <f t="shared" si="4"/>
        <v>136402.22</v>
      </c>
      <c r="G908" s="5" t="s">
        <v>284</v>
      </c>
      <c r="H908" s="5"/>
      <c r="I908" s="8">
        <f t="shared" si="7"/>
        <v>9</v>
      </c>
      <c r="J908" s="8">
        <f t="shared" si="8"/>
        <v>2025</v>
      </c>
      <c r="K908" s="8" t="str">
        <f t="shared" si="3"/>
        <v>2025 - 9</v>
      </c>
    </row>
    <row r="909">
      <c r="A909" s="2">
        <v>905.0</v>
      </c>
      <c r="B909" s="3">
        <v>45905.0</v>
      </c>
      <c r="C909" s="5" t="s">
        <v>18</v>
      </c>
      <c r="D909" s="5" t="s">
        <v>39</v>
      </c>
      <c r="E909" s="6">
        <v>-3491.25</v>
      </c>
      <c r="F909" s="7">
        <f t="shared" si="4"/>
        <v>132910.97</v>
      </c>
      <c r="G909" s="5" t="s">
        <v>320</v>
      </c>
      <c r="H909" s="5"/>
      <c r="I909" s="8">
        <f t="shared" si="7"/>
        <v>9</v>
      </c>
      <c r="J909" s="8">
        <f t="shared" si="8"/>
        <v>2025</v>
      </c>
      <c r="K909" s="8" t="str">
        <f t="shared" si="3"/>
        <v>2025 - 9</v>
      </c>
    </row>
    <row r="910">
      <c r="A910" s="2">
        <v>906.0</v>
      </c>
      <c r="B910" s="3">
        <v>45905.0</v>
      </c>
      <c r="C910" s="5" t="s">
        <v>18</v>
      </c>
      <c r="D910" s="5" t="s">
        <v>39</v>
      </c>
      <c r="E910" s="6">
        <v>-4011.05</v>
      </c>
      <c r="F910" s="7">
        <f t="shared" si="4"/>
        <v>128899.92</v>
      </c>
      <c r="G910" s="5" t="s">
        <v>320</v>
      </c>
      <c r="H910" s="5"/>
      <c r="I910" s="8">
        <f t="shared" si="7"/>
        <v>9</v>
      </c>
      <c r="J910" s="8">
        <f t="shared" si="8"/>
        <v>2025</v>
      </c>
      <c r="K910" s="8" t="str">
        <f t="shared" si="3"/>
        <v>2025 - 9</v>
      </c>
    </row>
    <row r="911">
      <c r="A911" s="2">
        <v>907.0</v>
      </c>
      <c r="B911" s="3">
        <v>45905.0</v>
      </c>
      <c r="C911" s="5" t="s">
        <v>22</v>
      </c>
      <c r="D911" s="5" t="s">
        <v>10</v>
      </c>
      <c r="E911" s="6">
        <v>-300.0</v>
      </c>
      <c r="F911" s="7">
        <f t="shared" si="4"/>
        <v>128599.92</v>
      </c>
      <c r="G911" s="5"/>
      <c r="H911" s="5"/>
      <c r="I911" s="8">
        <f t="shared" si="7"/>
        <v>9</v>
      </c>
      <c r="J911" s="8">
        <f t="shared" si="8"/>
        <v>2025</v>
      </c>
      <c r="K911" s="8" t="str">
        <f t="shared" si="3"/>
        <v>2025 - 9</v>
      </c>
    </row>
    <row r="912">
      <c r="A912" s="2">
        <v>908.0</v>
      </c>
      <c r="B912" s="3">
        <v>45906.0</v>
      </c>
      <c r="C912" s="5" t="s">
        <v>9</v>
      </c>
      <c r="D912" s="5" t="s">
        <v>10</v>
      </c>
      <c r="E912" s="6">
        <v>-50.0</v>
      </c>
      <c r="F912" s="7">
        <f t="shared" si="4"/>
        <v>128549.92</v>
      </c>
      <c r="G912" s="5" t="s">
        <v>125</v>
      </c>
      <c r="H912" s="5"/>
      <c r="I912" s="8">
        <f t="shared" si="7"/>
        <v>9</v>
      </c>
      <c r="J912" s="8">
        <f t="shared" si="8"/>
        <v>2025</v>
      </c>
      <c r="K912" s="8" t="str">
        <f t="shared" si="3"/>
        <v>2025 - 9</v>
      </c>
    </row>
    <row r="913">
      <c r="A913" s="2">
        <v>909.0</v>
      </c>
      <c r="B913" s="3">
        <v>45906.0</v>
      </c>
      <c r="C913" s="5" t="s">
        <v>12</v>
      </c>
      <c r="D913" s="5" t="s">
        <v>10</v>
      </c>
      <c r="E913" s="6">
        <v>-1000.0</v>
      </c>
      <c r="F913" s="7">
        <f t="shared" si="4"/>
        <v>127549.92</v>
      </c>
      <c r="G913" s="5" t="s">
        <v>70</v>
      </c>
      <c r="H913" s="5"/>
      <c r="I913" s="8">
        <f t="shared" si="7"/>
        <v>9</v>
      </c>
      <c r="J913" s="8">
        <f t="shared" si="8"/>
        <v>2025</v>
      </c>
      <c r="K913" s="8" t="str">
        <f t="shared" si="3"/>
        <v>2025 - 9</v>
      </c>
    </row>
    <row r="914">
      <c r="A914" s="2">
        <v>910.0</v>
      </c>
      <c r="B914" s="3">
        <v>45906.0</v>
      </c>
      <c r="C914" s="5" t="s">
        <v>18</v>
      </c>
      <c r="D914" s="5" t="s">
        <v>39</v>
      </c>
      <c r="E914" s="6">
        <v>-1552.0</v>
      </c>
      <c r="F914" s="7">
        <f t="shared" si="4"/>
        <v>125997.92</v>
      </c>
      <c r="G914" s="5" t="s">
        <v>336</v>
      </c>
      <c r="H914" s="5"/>
      <c r="I914" s="8">
        <f t="shared" si="7"/>
        <v>9</v>
      </c>
      <c r="J914" s="8">
        <f t="shared" si="8"/>
        <v>2025</v>
      </c>
      <c r="K914" s="8" t="str">
        <f t="shared" si="3"/>
        <v>2025 - 9</v>
      </c>
    </row>
    <row r="915">
      <c r="A915" s="2">
        <v>911.0</v>
      </c>
      <c r="B915" s="3">
        <v>45907.0</v>
      </c>
      <c r="C915" s="5" t="s">
        <v>22</v>
      </c>
      <c r="D915" s="5" t="s">
        <v>39</v>
      </c>
      <c r="E915" s="6">
        <v>-800.0</v>
      </c>
      <c r="F915" s="7">
        <f t="shared" si="4"/>
        <v>125197.92</v>
      </c>
      <c r="G915" s="5" t="s">
        <v>337</v>
      </c>
      <c r="H915" s="5"/>
      <c r="I915" s="8">
        <f t="shared" si="7"/>
        <v>9</v>
      </c>
      <c r="J915" s="8">
        <f t="shared" si="8"/>
        <v>2025</v>
      </c>
      <c r="K915" s="8" t="str">
        <f t="shared" si="3"/>
        <v>2025 - 9</v>
      </c>
    </row>
    <row r="916">
      <c r="A916" s="2">
        <v>912.0</v>
      </c>
      <c r="B916" s="3">
        <v>45907.0</v>
      </c>
      <c r="C916" s="5" t="s">
        <v>38</v>
      </c>
      <c r="D916" s="5" t="s">
        <v>39</v>
      </c>
      <c r="E916" s="6">
        <v>-2000.0</v>
      </c>
      <c r="F916" s="7">
        <f t="shared" si="4"/>
        <v>123197.92</v>
      </c>
      <c r="G916" s="5" t="s">
        <v>337</v>
      </c>
      <c r="H916" s="5"/>
      <c r="I916" s="8">
        <f t="shared" si="7"/>
        <v>9</v>
      </c>
      <c r="J916" s="8">
        <f t="shared" si="8"/>
        <v>2025</v>
      </c>
      <c r="K916" s="8" t="str">
        <f t="shared" si="3"/>
        <v>2025 - 9</v>
      </c>
    </row>
    <row r="917">
      <c r="A917" s="2">
        <v>913.0</v>
      </c>
      <c r="B917" s="3">
        <v>45907.0</v>
      </c>
      <c r="C917" s="5" t="s">
        <v>18</v>
      </c>
      <c r="D917" s="5" t="s">
        <v>39</v>
      </c>
      <c r="E917" s="6">
        <v>-1695.0</v>
      </c>
      <c r="F917" s="7">
        <f t="shared" si="4"/>
        <v>121502.92</v>
      </c>
      <c r="G917" s="5" t="s">
        <v>338</v>
      </c>
      <c r="H917" s="5"/>
      <c r="I917" s="8">
        <f t="shared" si="7"/>
        <v>9</v>
      </c>
      <c r="J917" s="8">
        <f t="shared" si="8"/>
        <v>2025</v>
      </c>
      <c r="K917" s="8" t="str">
        <f t="shared" si="3"/>
        <v>2025 - 9</v>
      </c>
    </row>
    <row r="918">
      <c r="A918" s="2">
        <v>914.0</v>
      </c>
      <c r="B918" s="3">
        <v>45907.0</v>
      </c>
      <c r="C918" s="5" t="s">
        <v>18</v>
      </c>
      <c r="D918" s="5" t="s">
        <v>39</v>
      </c>
      <c r="E918" s="6">
        <v>-40.0</v>
      </c>
      <c r="F918" s="7">
        <f t="shared" si="4"/>
        <v>121462.92</v>
      </c>
      <c r="G918" s="5" t="s">
        <v>337</v>
      </c>
      <c r="H918" s="5"/>
      <c r="I918" s="8">
        <f t="shared" si="7"/>
        <v>9</v>
      </c>
      <c r="J918" s="8">
        <f t="shared" si="8"/>
        <v>2025</v>
      </c>
      <c r="K918" s="8" t="str">
        <f t="shared" si="3"/>
        <v>2025 - 9</v>
      </c>
    </row>
    <row r="919">
      <c r="A919" s="2">
        <v>915.0</v>
      </c>
      <c r="B919" s="3">
        <v>45907.0</v>
      </c>
      <c r="C919" s="5" t="s">
        <v>18</v>
      </c>
      <c r="D919" s="5" t="s">
        <v>39</v>
      </c>
      <c r="E919" s="6">
        <v>-85.0</v>
      </c>
      <c r="F919" s="7">
        <f t="shared" si="4"/>
        <v>121377.92</v>
      </c>
      <c r="G919" s="5" t="s">
        <v>337</v>
      </c>
      <c r="H919" s="5"/>
      <c r="I919" s="8">
        <f t="shared" si="7"/>
        <v>9</v>
      </c>
      <c r="J919" s="8">
        <f t="shared" si="8"/>
        <v>2025</v>
      </c>
      <c r="K919" s="8" t="str">
        <f t="shared" si="3"/>
        <v>2025 - 9</v>
      </c>
    </row>
    <row r="920">
      <c r="A920" s="2">
        <v>916.0</v>
      </c>
      <c r="B920" s="3">
        <v>45907.0</v>
      </c>
      <c r="C920" s="5" t="s">
        <v>22</v>
      </c>
      <c r="D920" s="5" t="s">
        <v>39</v>
      </c>
      <c r="E920" s="6">
        <v>-200.0</v>
      </c>
      <c r="F920" s="7">
        <f t="shared" si="4"/>
        <v>121177.92</v>
      </c>
      <c r="G920" s="5" t="s">
        <v>337</v>
      </c>
      <c r="H920" s="5"/>
      <c r="I920" s="8">
        <f t="shared" si="7"/>
        <v>9</v>
      </c>
      <c r="J920" s="8">
        <f t="shared" si="8"/>
        <v>2025</v>
      </c>
      <c r="K920" s="8" t="str">
        <f t="shared" si="3"/>
        <v>2025 - 9</v>
      </c>
    </row>
    <row r="921">
      <c r="A921" s="2">
        <v>917.0</v>
      </c>
      <c r="B921" s="3">
        <v>45907.0</v>
      </c>
      <c r="C921" s="5" t="s">
        <v>18</v>
      </c>
      <c r="D921" s="5" t="s">
        <v>10</v>
      </c>
      <c r="E921" s="6">
        <v>-440.4</v>
      </c>
      <c r="F921" s="7">
        <f t="shared" si="4"/>
        <v>120737.52</v>
      </c>
      <c r="G921" s="5" t="s">
        <v>234</v>
      </c>
      <c r="H921" s="5"/>
      <c r="I921" s="8">
        <f t="shared" si="7"/>
        <v>9</v>
      </c>
      <c r="J921" s="8">
        <f t="shared" si="8"/>
        <v>2025</v>
      </c>
      <c r="K921" s="8" t="str">
        <f t="shared" si="3"/>
        <v>2025 - 9</v>
      </c>
    </row>
    <row r="922">
      <c r="A922" s="2">
        <v>918.0</v>
      </c>
      <c r="B922" s="3">
        <v>45907.0</v>
      </c>
      <c r="C922" s="5" t="s">
        <v>38</v>
      </c>
      <c r="D922" s="5" t="s">
        <v>39</v>
      </c>
      <c r="E922" s="6">
        <v>-1100.0</v>
      </c>
      <c r="F922" s="7">
        <f t="shared" si="4"/>
        <v>119637.52</v>
      </c>
      <c r="G922" s="5" t="s">
        <v>339</v>
      </c>
      <c r="H922" s="5"/>
      <c r="I922" s="8">
        <f t="shared" si="7"/>
        <v>9</v>
      </c>
      <c r="J922" s="8">
        <f t="shared" si="8"/>
        <v>2025</v>
      </c>
      <c r="K922" s="8" t="str">
        <f t="shared" si="3"/>
        <v>2025 - 9</v>
      </c>
    </row>
    <row r="923">
      <c r="A923" s="2">
        <v>919.0</v>
      </c>
      <c r="B923" s="3">
        <v>45908.0</v>
      </c>
      <c r="C923" s="5" t="s">
        <v>18</v>
      </c>
      <c r="D923" s="5" t="s">
        <v>10</v>
      </c>
      <c r="E923" s="6">
        <v>-467.15</v>
      </c>
      <c r="F923" s="7">
        <f t="shared" si="4"/>
        <v>119170.37</v>
      </c>
      <c r="G923" s="5" t="s">
        <v>234</v>
      </c>
      <c r="H923" s="5"/>
      <c r="I923" s="8">
        <f t="shared" si="7"/>
        <v>9</v>
      </c>
      <c r="J923" s="8">
        <f t="shared" si="8"/>
        <v>2025</v>
      </c>
      <c r="K923" s="8" t="str">
        <f t="shared" si="3"/>
        <v>2025 - 9</v>
      </c>
    </row>
    <row r="924">
      <c r="A924" s="2">
        <v>920.0</v>
      </c>
      <c r="B924" s="3">
        <v>45908.0</v>
      </c>
      <c r="C924" s="5" t="s">
        <v>18</v>
      </c>
      <c r="D924" s="5" t="s">
        <v>10</v>
      </c>
      <c r="E924" s="6">
        <v>-406.0</v>
      </c>
      <c r="F924" s="7">
        <f t="shared" si="4"/>
        <v>118764.37</v>
      </c>
      <c r="G924" s="5" t="s">
        <v>238</v>
      </c>
      <c r="H924" s="5"/>
      <c r="I924" s="8">
        <f t="shared" si="7"/>
        <v>9</v>
      </c>
      <c r="J924" s="8">
        <f t="shared" si="8"/>
        <v>2025</v>
      </c>
      <c r="K924" s="8" t="str">
        <f t="shared" si="3"/>
        <v>2025 - 9</v>
      </c>
    </row>
    <row r="925">
      <c r="A925" s="2">
        <v>921.0</v>
      </c>
      <c r="B925" s="3">
        <v>45909.0</v>
      </c>
      <c r="C925" s="5" t="s">
        <v>16</v>
      </c>
      <c r="D925" s="5" t="s">
        <v>10</v>
      </c>
      <c r="E925" s="6">
        <v>-238.0</v>
      </c>
      <c r="F925" s="7">
        <f t="shared" si="4"/>
        <v>118526.37</v>
      </c>
      <c r="G925" s="5" t="s">
        <v>340</v>
      </c>
      <c r="H925" s="5"/>
      <c r="I925" s="8">
        <f t="shared" si="7"/>
        <v>9</v>
      </c>
      <c r="J925" s="8">
        <f t="shared" si="8"/>
        <v>2025</v>
      </c>
      <c r="K925" s="8" t="str">
        <f t="shared" si="3"/>
        <v>2025 - 9</v>
      </c>
    </row>
    <row r="926">
      <c r="A926" s="2">
        <v>922.0</v>
      </c>
      <c r="B926" s="3">
        <v>45910.0</v>
      </c>
      <c r="C926" s="5" t="s">
        <v>16</v>
      </c>
      <c r="D926" s="5" t="s">
        <v>10</v>
      </c>
      <c r="E926" s="6">
        <v>-2196.0</v>
      </c>
      <c r="F926" s="7">
        <f t="shared" si="4"/>
        <v>116330.37</v>
      </c>
      <c r="G926" s="5" t="s">
        <v>163</v>
      </c>
      <c r="H926" s="5"/>
      <c r="I926" s="8">
        <f t="shared" si="7"/>
        <v>9</v>
      </c>
      <c r="J926" s="8">
        <f t="shared" si="8"/>
        <v>2025</v>
      </c>
      <c r="K926" s="8" t="str">
        <f t="shared" si="3"/>
        <v>2025 - 9</v>
      </c>
    </row>
    <row r="927">
      <c r="A927" s="2">
        <v>923.0</v>
      </c>
      <c r="B927" s="3">
        <v>45911.0</v>
      </c>
      <c r="C927" s="5" t="s">
        <v>18</v>
      </c>
      <c r="D927" s="5" t="s">
        <v>10</v>
      </c>
      <c r="E927" s="6">
        <v>-576.15</v>
      </c>
      <c r="F927" s="7">
        <f t="shared" si="4"/>
        <v>115754.22</v>
      </c>
      <c r="G927" s="5" t="s">
        <v>234</v>
      </c>
      <c r="H927" s="5"/>
      <c r="I927" s="8">
        <f t="shared" si="7"/>
        <v>9</v>
      </c>
      <c r="J927" s="8">
        <f t="shared" si="8"/>
        <v>2025</v>
      </c>
      <c r="K927" s="8" t="str">
        <f t="shared" si="3"/>
        <v>2025 - 9</v>
      </c>
    </row>
    <row r="928">
      <c r="A928" s="2">
        <v>924.0</v>
      </c>
      <c r="B928" s="3">
        <v>45912.0</v>
      </c>
      <c r="C928" s="5" t="s">
        <v>18</v>
      </c>
      <c r="D928" s="5" t="s">
        <v>10</v>
      </c>
      <c r="E928" s="6">
        <v>-586.85</v>
      </c>
      <c r="F928" s="7">
        <f t="shared" si="4"/>
        <v>115167.37</v>
      </c>
      <c r="G928" s="5" t="s">
        <v>234</v>
      </c>
      <c r="H928" s="5"/>
      <c r="I928" s="8">
        <f t="shared" si="7"/>
        <v>9</v>
      </c>
      <c r="J928" s="8">
        <f t="shared" si="8"/>
        <v>2025</v>
      </c>
      <c r="K928" s="8" t="str">
        <f t="shared" si="3"/>
        <v>2025 - 9</v>
      </c>
    </row>
    <row r="929">
      <c r="A929" s="2">
        <v>925.0</v>
      </c>
      <c r="B929" s="3">
        <v>45913.0</v>
      </c>
      <c r="C929" s="5" t="s">
        <v>18</v>
      </c>
      <c r="D929" s="5" t="s">
        <v>10</v>
      </c>
      <c r="E929" s="6">
        <v>-937.09</v>
      </c>
      <c r="F929" s="7">
        <f t="shared" si="4"/>
        <v>114230.28</v>
      </c>
      <c r="G929" s="5" t="s">
        <v>235</v>
      </c>
      <c r="H929" s="5"/>
      <c r="I929" s="8">
        <f t="shared" si="7"/>
        <v>9</v>
      </c>
      <c r="J929" s="8">
        <f t="shared" si="8"/>
        <v>2025</v>
      </c>
      <c r="K929" s="8" t="str">
        <f t="shared" si="3"/>
        <v>2025 - 9</v>
      </c>
    </row>
    <row r="930">
      <c r="A930" s="2">
        <v>926.0</v>
      </c>
      <c r="B930" s="3">
        <v>45914.0</v>
      </c>
      <c r="C930" s="5" t="s">
        <v>16</v>
      </c>
      <c r="D930" s="5" t="s">
        <v>10</v>
      </c>
      <c r="E930" s="6">
        <v>-2011.0</v>
      </c>
      <c r="F930" s="7">
        <f t="shared" si="4"/>
        <v>112219.28</v>
      </c>
      <c r="G930" s="5" t="s">
        <v>248</v>
      </c>
      <c r="H930" s="5"/>
      <c r="I930" s="8">
        <f t="shared" si="7"/>
        <v>9</v>
      </c>
      <c r="J930" s="8">
        <f t="shared" si="8"/>
        <v>2025</v>
      </c>
      <c r="K930" s="8" t="str">
        <f t="shared" si="3"/>
        <v>2025 - 9</v>
      </c>
    </row>
    <row r="931">
      <c r="A931" s="2">
        <v>927.0</v>
      </c>
      <c r="B931" s="3">
        <v>45914.0</v>
      </c>
      <c r="C931" s="5" t="s">
        <v>16</v>
      </c>
      <c r="D931" s="5" t="s">
        <v>10</v>
      </c>
      <c r="E931" s="6">
        <v>-3573.0</v>
      </c>
      <c r="F931" s="7">
        <f t="shared" si="4"/>
        <v>108646.28</v>
      </c>
      <c r="G931" s="5" t="s">
        <v>248</v>
      </c>
      <c r="H931" s="5"/>
      <c r="I931" s="8">
        <f t="shared" si="7"/>
        <v>9</v>
      </c>
      <c r="J931" s="8">
        <f t="shared" si="8"/>
        <v>2025</v>
      </c>
      <c r="K931" s="8" t="str">
        <f t="shared" si="3"/>
        <v>2025 - 9</v>
      </c>
    </row>
    <row r="932">
      <c r="A932" s="2">
        <v>928.0</v>
      </c>
      <c r="B932" s="3">
        <v>45914.0</v>
      </c>
      <c r="C932" s="5" t="s">
        <v>18</v>
      </c>
      <c r="D932" s="5" t="s">
        <v>10</v>
      </c>
      <c r="E932" s="6">
        <v>-155.0</v>
      </c>
      <c r="F932" s="7">
        <f t="shared" si="4"/>
        <v>108491.28</v>
      </c>
      <c r="G932" s="5" t="s">
        <v>331</v>
      </c>
      <c r="H932" s="5"/>
      <c r="I932" s="8">
        <f t="shared" si="7"/>
        <v>9</v>
      </c>
      <c r="J932" s="8">
        <f t="shared" si="8"/>
        <v>2025</v>
      </c>
      <c r="K932" s="8" t="str">
        <f t="shared" si="3"/>
        <v>2025 - 9</v>
      </c>
    </row>
    <row r="933">
      <c r="A933" s="2">
        <v>929.0</v>
      </c>
      <c r="B933" s="3">
        <v>45914.0</v>
      </c>
      <c r="C933" s="5" t="s">
        <v>18</v>
      </c>
      <c r="D933" s="5" t="s">
        <v>10</v>
      </c>
      <c r="E933" s="6">
        <v>-150.0</v>
      </c>
      <c r="F933" s="7">
        <f t="shared" si="4"/>
        <v>108341.28</v>
      </c>
      <c r="G933" s="5" t="s">
        <v>331</v>
      </c>
      <c r="H933" s="5"/>
      <c r="I933" s="8">
        <f t="shared" si="7"/>
        <v>9</v>
      </c>
      <c r="J933" s="8">
        <f t="shared" si="8"/>
        <v>2025</v>
      </c>
      <c r="K933" s="8" t="str">
        <f t="shared" si="3"/>
        <v>2025 - 9</v>
      </c>
    </row>
    <row r="934">
      <c r="A934" s="2">
        <v>930.0</v>
      </c>
      <c r="B934" s="3">
        <v>45914.0</v>
      </c>
      <c r="C934" s="5" t="s">
        <v>49</v>
      </c>
      <c r="D934" s="5" t="s">
        <v>10</v>
      </c>
      <c r="E934" s="6">
        <v>-314.0</v>
      </c>
      <c r="F934" s="7">
        <f t="shared" si="4"/>
        <v>108027.28</v>
      </c>
      <c r="G934" s="5" t="s">
        <v>238</v>
      </c>
      <c r="H934" s="5"/>
      <c r="I934" s="8">
        <f t="shared" si="7"/>
        <v>9</v>
      </c>
      <c r="J934" s="8">
        <f t="shared" si="8"/>
        <v>2025</v>
      </c>
      <c r="K934" s="8" t="str">
        <f t="shared" si="3"/>
        <v>2025 - 9</v>
      </c>
    </row>
    <row r="935">
      <c r="A935" s="2">
        <v>931.0</v>
      </c>
      <c r="B935" s="3">
        <v>45915.0</v>
      </c>
      <c r="C935" s="5" t="s">
        <v>49</v>
      </c>
      <c r="D935" s="5" t="s">
        <v>10</v>
      </c>
      <c r="E935" s="6">
        <v>-649.0</v>
      </c>
      <c r="F935" s="7">
        <f t="shared" si="4"/>
        <v>107378.28</v>
      </c>
      <c r="G935" s="5" t="s">
        <v>50</v>
      </c>
      <c r="H935" s="5"/>
      <c r="I935" s="8">
        <f t="shared" si="7"/>
        <v>9</v>
      </c>
      <c r="J935" s="8">
        <f t="shared" si="8"/>
        <v>2025</v>
      </c>
      <c r="K935" s="8" t="str">
        <f t="shared" si="3"/>
        <v>2025 - 9</v>
      </c>
    </row>
    <row r="936">
      <c r="A936" s="2">
        <v>932.0</v>
      </c>
      <c r="B936" s="3">
        <v>45915.0</v>
      </c>
      <c r="C936" s="5" t="s">
        <v>18</v>
      </c>
      <c r="D936" s="5" t="s">
        <v>10</v>
      </c>
      <c r="E936" s="6">
        <v>-419.76</v>
      </c>
      <c r="F936" s="7">
        <f t="shared" si="4"/>
        <v>106958.52</v>
      </c>
      <c r="G936" s="5" t="s">
        <v>234</v>
      </c>
      <c r="H936" s="5"/>
      <c r="I936" s="8">
        <f t="shared" si="7"/>
        <v>9</v>
      </c>
      <c r="J936" s="8">
        <f t="shared" si="8"/>
        <v>2025</v>
      </c>
      <c r="K936" s="8" t="str">
        <f t="shared" si="3"/>
        <v>2025 - 9</v>
      </c>
    </row>
    <row r="937">
      <c r="A937" s="2">
        <v>933.0</v>
      </c>
      <c r="B937" s="3">
        <v>45915.0</v>
      </c>
      <c r="C937" s="5" t="s">
        <v>31</v>
      </c>
      <c r="D937" s="5" t="s">
        <v>10</v>
      </c>
      <c r="E937" s="6">
        <v>-8328.0</v>
      </c>
      <c r="F937" s="7">
        <f t="shared" si="4"/>
        <v>98630.52</v>
      </c>
      <c r="G937" s="5" t="s">
        <v>122</v>
      </c>
      <c r="H937" s="5"/>
      <c r="I937" s="8">
        <f t="shared" si="7"/>
        <v>9</v>
      </c>
      <c r="J937" s="8">
        <f t="shared" si="8"/>
        <v>2025</v>
      </c>
      <c r="K937" s="8" t="str">
        <f t="shared" si="3"/>
        <v>2025 - 9</v>
      </c>
    </row>
    <row r="938">
      <c r="A938" s="2">
        <v>934.0</v>
      </c>
      <c r="B938" s="3">
        <v>45915.0</v>
      </c>
      <c r="C938" s="5" t="s">
        <v>31</v>
      </c>
      <c r="D938" s="5" t="s">
        <v>10</v>
      </c>
      <c r="E938" s="6">
        <v>-4549.0</v>
      </c>
      <c r="F938" s="7">
        <f t="shared" si="4"/>
        <v>94081.52</v>
      </c>
      <c r="G938" s="5" t="s">
        <v>122</v>
      </c>
      <c r="H938" s="5"/>
      <c r="I938" s="8">
        <f t="shared" si="7"/>
        <v>9</v>
      </c>
      <c r="J938" s="8">
        <f t="shared" si="8"/>
        <v>2025</v>
      </c>
      <c r="K938" s="8" t="str">
        <f t="shared" si="3"/>
        <v>2025 - 9</v>
      </c>
    </row>
    <row r="939">
      <c r="A939" s="2">
        <v>935.0</v>
      </c>
      <c r="B939" s="3">
        <v>45915.0</v>
      </c>
      <c r="C939" s="5" t="s">
        <v>18</v>
      </c>
      <c r="D939" s="5" t="s">
        <v>10</v>
      </c>
      <c r="E939" s="6">
        <v>-220.0</v>
      </c>
      <c r="F939" s="7">
        <f t="shared" si="4"/>
        <v>93861.52</v>
      </c>
      <c r="G939" s="5" t="s">
        <v>238</v>
      </c>
      <c r="H939" s="5"/>
      <c r="I939" s="8">
        <f t="shared" si="7"/>
        <v>9</v>
      </c>
      <c r="J939" s="8">
        <f t="shared" si="8"/>
        <v>2025</v>
      </c>
      <c r="K939" s="8" t="str">
        <f t="shared" si="3"/>
        <v>2025 - 9</v>
      </c>
    </row>
    <row r="940">
      <c r="A940" s="2">
        <v>936.0</v>
      </c>
      <c r="B940" s="3">
        <v>45916.0</v>
      </c>
      <c r="C940" s="5" t="s">
        <v>18</v>
      </c>
      <c r="D940" s="5" t="s">
        <v>10</v>
      </c>
      <c r="E940" s="6">
        <v>-401.05</v>
      </c>
      <c r="F940" s="7">
        <f t="shared" si="4"/>
        <v>93460.47</v>
      </c>
      <c r="G940" s="5" t="s">
        <v>234</v>
      </c>
      <c r="H940" s="5"/>
      <c r="I940" s="8">
        <f t="shared" si="7"/>
        <v>9</v>
      </c>
      <c r="J940" s="8">
        <f t="shared" si="8"/>
        <v>2025</v>
      </c>
      <c r="K940" s="8" t="str">
        <f t="shared" si="3"/>
        <v>2025 - 9</v>
      </c>
    </row>
    <row r="941">
      <c r="A941" s="2">
        <v>937.0</v>
      </c>
      <c r="B941" s="3">
        <v>45916.0</v>
      </c>
      <c r="C941" s="5" t="s">
        <v>49</v>
      </c>
      <c r="D941" s="5" t="s">
        <v>10</v>
      </c>
      <c r="E941" s="6">
        <v>-1924.46</v>
      </c>
      <c r="F941" s="7">
        <f t="shared" si="4"/>
        <v>91536.01</v>
      </c>
      <c r="G941" s="5" t="s">
        <v>110</v>
      </c>
      <c r="H941" s="5"/>
      <c r="I941" s="8">
        <f t="shared" si="7"/>
        <v>9</v>
      </c>
      <c r="J941" s="8">
        <f t="shared" si="8"/>
        <v>2025</v>
      </c>
      <c r="K941" s="8" t="str">
        <f t="shared" si="3"/>
        <v>2025 - 9</v>
      </c>
    </row>
    <row r="942">
      <c r="A942" s="2">
        <v>938.0</v>
      </c>
      <c r="B942" s="3">
        <v>45917.0</v>
      </c>
      <c r="C942" s="5" t="s">
        <v>18</v>
      </c>
      <c r="D942" s="5" t="s">
        <v>10</v>
      </c>
      <c r="E942" s="6">
        <v>-36.0</v>
      </c>
      <c r="F942" s="7">
        <f t="shared" si="4"/>
        <v>91500.01</v>
      </c>
      <c r="G942" s="5" t="s">
        <v>282</v>
      </c>
      <c r="H942" s="5"/>
      <c r="I942" s="8">
        <f t="shared" si="7"/>
        <v>9</v>
      </c>
      <c r="J942" s="8">
        <f t="shared" si="8"/>
        <v>2025</v>
      </c>
      <c r="K942" s="8" t="str">
        <f t="shared" si="3"/>
        <v>2025 - 9</v>
      </c>
    </row>
    <row r="943">
      <c r="A943" s="2">
        <v>939.0</v>
      </c>
      <c r="B943" s="3">
        <v>45917.0</v>
      </c>
      <c r="C943" s="5" t="s">
        <v>24</v>
      </c>
      <c r="D943" s="5" t="s">
        <v>10</v>
      </c>
      <c r="E943" s="6">
        <v>7500.0</v>
      </c>
      <c r="F943" s="7">
        <f t="shared" si="4"/>
        <v>99000.01</v>
      </c>
      <c r="G943" s="5" t="s">
        <v>320</v>
      </c>
      <c r="H943" s="5"/>
      <c r="I943" s="8">
        <f t="shared" si="7"/>
        <v>9</v>
      </c>
      <c r="J943" s="8">
        <f t="shared" si="8"/>
        <v>2025</v>
      </c>
      <c r="K943" s="8" t="str">
        <f t="shared" si="3"/>
        <v>2025 - 9</v>
      </c>
    </row>
    <row r="944">
      <c r="A944" s="2">
        <v>940.0</v>
      </c>
      <c r="B944" s="3">
        <v>45917.0</v>
      </c>
      <c r="C944" s="5" t="s">
        <v>24</v>
      </c>
      <c r="D944" s="5" t="s">
        <v>10</v>
      </c>
      <c r="E944" s="6">
        <v>900.0</v>
      </c>
      <c r="F944" s="7">
        <f t="shared" si="4"/>
        <v>99900.01</v>
      </c>
      <c r="G944" s="5" t="s">
        <v>70</v>
      </c>
      <c r="H944" s="5"/>
      <c r="I944" s="8">
        <f t="shared" si="7"/>
        <v>9</v>
      </c>
      <c r="J944" s="8">
        <f t="shared" si="8"/>
        <v>2025</v>
      </c>
      <c r="K944" s="8" t="str">
        <f t="shared" si="3"/>
        <v>2025 - 9</v>
      </c>
    </row>
    <row r="945">
      <c r="A945" s="2">
        <v>941.0</v>
      </c>
      <c r="B945" s="3">
        <v>45917.0</v>
      </c>
      <c r="C945" s="5" t="s">
        <v>16</v>
      </c>
      <c r="D945" s="5" t="s">
        <v>10</v>
      </c>
      <c r="E945" s="6">
        <v>-732.0</v>
      </c>
      <c r="F945" s="7">
        <f t="shared" si="4"/>
        <v>99168.01</v>
      </c>
      <c r="G945" s="5" t="s">
        <v>163</v>
      </c>
      <c r="H945" s="5"/>
      <c r="I945" s="8">
        <f t="shared" si="7"/>
        <v>9</v>
      </c>
      <c r="J945" s="8">
        <f t="shared" si="8"/>
        <v>2025</v>
      </c>
      <c r="K945" s="8" t="str">
        <f t="shared" si="3"/>
        <v>2025 - 9</v>
      </c>
    </row>
    <row r="946">
      <c r="A946" s="2">
        <v>942.0</v>
      </c>
      <c r="B946" s="3">
        <v>45917.0</v>
      </c>
      <c r="C946" s="5" t="s">
        <v>18</v>
      </c>
      <c r="D946" s="5" t="s">
        <v>10</v>
      </c>
      <c r="E946" s="6">
        <v>-386.05</v>
      </c>
      <c r="F946" s="7">
        <f t="shared" si="4"/>
        <v>98781.96</v>
      </c>
      <c r="G946" s="5" t="s">
        <v>234</v>
      </c>
      <c r="H946" s="5"/>
      <c r="I946" s="8">
        <f t="shared" si="7"/>
        <v>9</v>
      </c>
      <c r="J946" s="8">
        <f t="shared" si="8"/>
        <v>2025</v>
      </c>
      <c r="K946" s="8" t="str">
        <f t="shared" si="3"/>
        <v>2025 - 9</v>
      </c>
    </row>
    <row r="947">
      <c r="A947" s="2">
        <v>943.0</v>
      </c>
      <c r="B947" s="3">
        <v>45917.0</v>
      </c>
      <c r="C947" s="5" t="s">
        <v>9</v>
      </c>
      <c r="D947" s="5" t="s">
        <v>10</v>
      </c>
      <c r="E947" s="6">
        <v>-200.0</v>
      </c>
      <c r="F947" s="7">
        <f t="shared" si="4"/>
        <v>98581.96</v>
      </c>
      <c r="G947" s="5"/>
      <c r="H947" s="5"/>
      <c r="I947" s="8">
        <f t="shared" si="7"/>
        <v>9</v>
      </c>
      <c r="J947" s="8">
        <f t="shared" si="8"/>
        <v>2025</v>
      </c>
      <c r="K947" s="8" t="str">
        <f t="shared" si="3"/>
        <v>2025 - 9</v>
      </c>
    </row>
    <row r="948">
      <c r="A948" s="2">
        <v>944.0</v>
      </c>
      <c r="B948" s="3">
        <v>45918.0</v>
      </c>
      <c r="C948" s="5" t="s">
        <v>38</v>
      </c>
      <c r="D948" s="5" t="s">
        <v>39</v>
      </c>
      <c r="E948" s="6">
        <v>-1357.0</v>
      </c>
      <c r="F948" s="7">
        <f t="shared" si="4"/>
        <v>97224.96</v>
      </c>
      <c r="G948" s="5" t="s">
        <v>341</v>
      </c>
      <c r="H948" s="5"/>
      <c r="I948" s="8">
        <f t="shared" si="7"/>
        <v>9</v>
      </c>
      <c r="J948" s="8">
        <f t="shared" si="8"/>
        <v>2025</v>
      </c>
      <c r="K948" s="8" t="str">
        <f t="shared" si="3"/>
        <v>2025 - 9</v>
      </c>
    </row>
    <row r="949">
      <c r="A949" s="2">
        <v>945.0</v>
      </c>
      <c r="B949" s="3">
        <v>45918.0</v>
      </c>
      <c r="C949" s="5" t="s">
        <v>24</v>
      </c>
      <c r="D949" s="5" t="s">
        <v>10</v>
      </c>
      <c r="E949" s="6">
        <v>271.0</v>
      </c>
      <c r="F949" s="7">
        <f t="shared" si="4"/>
        <v>97495.96</v>
      </c>
      <c r="G949" s="5"/>
      <c r="H949" s="5"/>
      <c r="I949" s="8">
        <f t="shared" si="7"/>
        <v>9</v>
      </c>
      <c r="J949" s="8">
        <f t="shared" si="8"/>
        <v>2025</v>
      </c>
      <c r="K949" s="8" t="str">
        <f t="shared" si="3"/>
        <v>2025 - 9</v>
      </c>
    </row>
    <row r="950">
      <c r="A950" s="2">
        <v>946.0</v>
      </c>
      <c r="B950" s="3">
        <v>45918.0</v>
      </c>
      <c r="C950" s="5" t="s">
        <v>38</v>
      </c>
      <c r="D950" s="5" t="s">
        <v>39</v>
      </c>
      <c r="E950" s="6">
        <v>-1899.8</v>
      </c>
      <c r="F950" s="7">
        <f t="shared" si="4"/>
        <v>95596.16</v>
      </c>
      <c r="G950" s="5" t="s">
        <v>342</v>
      </c>
      <c r="H950" s="5"/>
      <c r="I950" s="8">
        <f t="shared" si="7"/>
        <v>9</v>
      </c>
      <c r="J950" s="8">
        <f t="shared" si="8"/>
        <v>2025</v>
      </c>
      <c r="K950" s="8" t="str">
        <f t="shared" si="3"/>
        <v>2025 - 9</v>
      </c>
    </row>
    <row r="951">
      <c r="A951" s="2">
        <v>947.0</v>
      </c>
      <c r="B951" s="3">
        <v>45918.0</v>
      </c>
      <c r="C951" s="5" t="s">
        <v>16</v>
      </c>
      <c r="D951" s="5" t="s">
        <v>10</v>
      </c>
      <c r="E951" s="6">
        <v>-271.0</v>
      </c>
      <c r="F951" s="7">
        <f t="shared" si="4"/>
        <v>95325.16</v>
      </c>
      <c r="G951" s="5" t="s">
        <v>163</v>
      </c>
      <c r="H951" s="5"/>
      <c r="I951" s="8">
        <f t="shared" si="7"/>
        <v>9</v>
      </c>
      <c r="J951" s="8">
        <f t="shared" si="8"/>
        <v>2025</v>
      </c>
      <c r="K951" s="8" t="str">
        <f t="shared" si="3"/>
        <v>2025 - 9</v>
      </c>
    </row>
    <row r="952">
      <c r="A952" s="2">
        <v>948.0</v>
      </c>
      <c r="B952" s="3">
        <v>45918.0</v>
      </c>
      <c r="C952" s="5" t="s">
        <v>18</v>
      </c>
      <c r="D952" s="5" t="s">
        <v>10</v>
      </c>
      <c r="E952" s="6">
        <v>-335.0</v>
      </c>
      <c r="F952" s="7">
        <f t="shared" si="4"/>
        <v>94990.16</v>
      </c>
      <c r="G952" s="5"/>
      <c r="H952" s="5"/>
      <c r="I952" s="8">
        <f t="shared" si="7"/>
        <v>9</v>
      </c>
      <c r="J952" s="8">
        <f t="shared" si="8"/>
        <v>2025</v>
      </c>
      <c r="K952" s="8" t="str">
        <f t="shared" si="3"/>
        <v>2025 - 9</v>
      </c>
    </row>
    <row r="953">
      <c r="A953" s="2">
        <v>949.0</v>
      </c>
      <c r="B953" s="3">
        <v>45919.0</v>
      </c>
      <c r="C953" s="5" t="s">
        <v>18</v>
      </c>
      <c r="D953" s="5" t="s">
        <v>39</v>
      </c>
      <c r="E953" s="6">
        <v>-824.19</v>
      </c>
      <c r="F953" s="7">
        <f t="shared" si="4"/>
        <v>94165.97</v>
      </c>
      <c r="G953" s="5" t="s">
        <v>343</v>
      </c>
      <c r="H953" s="5"/>
      <c r="I953" s="8">
        <f t="shared" si="7"/>
        <v>9</v>
      </c>
      <c r="J953" s="8">
        <f t="shared" si="8"/>
        <v>2025</v>
      </c>
      <c r="K953" s="8" t="str">
        <f t="shared" si="3"/>
        <v>2025 - 9</v>
      </c>
    </row>
    <row r="954">
      <c r="A954" s="2">
        <v>950.0</v>
      </c>
      <c r="B954" s="3">
        <v>45919.0</v>
      </c>
      <c r="C954" s="5" t="s">
        <v>9</v>
      </c>
      <c r="D954" s="5" t="s">
        <v>10</v>
      </c>
      <c r="E954" s="6">
        <v>-200.0</v>
      </c>
      <c r="F954" s="7">
        <f t="shared" si="4"/>
        <v>93965.97</v>
      </c>
      <c r="G954" s="5"/>
      <c r="H954" s="5"/>
      <c r="I954" s="8">
        <f t="shared" si="7"/>
        <v>9</v>
      </c>
      <c r="J954" s="8">
        <f t="shared" si="8"/>
        <v>2025</v>
      </c>
      <c r="K954" s="8" t="str">
        <f t="shared" si="3"/>
        <v>2025 - 9</v>
      </c>
    </row>
    <row r="955">
      <c r="A955" s="2">
        <v>951.0</v>
      </c>
      <c r="B955" s="3">
        <v>45919.0</v>
      </c>
      <c r="C955" s="5" t="s">
        <v>18</v>
      </c>
      <c r="D955" s="5" t="s">
        <v>39</v>
      </c>
      <c r="E955" s="6">
        <v>-88.0</v>
      </c>
      <c r="F955" s="7">
        <f t="shared" si="4"/>
        <v>93877.97</v>
      </c>
      <c r="G955" s="5" t="s">
        <v>343</v>
      </c>
      <c r="H955" s="5"/>
      <c r="I955" s="8">
        <f t="shared" si="7"/>
        <v>9</v>
      </c>
      <c r="J955" s="8">
        <f t="shared" si="8"/>
        <v>2025</v>
      </c>
      <c r="K955" s="8" t="str">
        <f t="shared" si="3"/>
        <v>2025 - 9</v>
      </c>
    </row>
    <row r="956">
      <c r="A956" s="2">
        <v>952.0</v>
      </c>
      <c r="B956" s="3">
        <v>45919.0</v>
      </c>
      <c r="C956" s="5" t="s">
        <v>9</v>
      </c>
      <c r="D956" s="5" t="s">
        <v>10</v>
      </c>
      <c r="E956" s="6">
        <v>-60.0</v>
      </c>
      <c r="F956" s="7">
        <f t="shared" si="4"/>
        <v>93817.97</v>
      </c>
      <c r="G956" s="5" t="s">
        <v>125</v>
      </c>
      <c r="H956" s="5"/>
      <c r="I956" s="8">
        <f t="shared" si="7"/>
        <v>9</v>
      </c>
      <c r="J956" s="8">
        <f t="shared" si="8"/>
        <v>2025</v>
      </c>
      <c r="K956" s="8" t="str">
        <f t="shared" si="3"/>
        <v>2025 - 9</v>
      </c>
    </row>
    <row r="957">
      <c r="A957" s="2">
        <v>953.0</v>
      </c>
      <c r="B957" s="3">
        <v>45919.0</v>
      </c>
      <c r="C957" s="5" t="s">
        <v>326</v>
      </c>
      <c r="D957" s="5" t="s">
        <v>10</v>
      </c>
      <c r="E957" s="6">
        <v>-786.2</v>
      </c>
      <c r="F957" s="7">
        <f t="shared" si="4"/>
        <v>93031.77</v>
      </c>
      <c r="G957" s="5"/>
      <c r="H957" s="5"/>
      <c r="I957" s="8">
        <f t="shared" si="7"/>
        <v>9</v>
      </c>
      <c r="J957" s="8">
        <f t="shared" si="8"/>
        <v>2025</v>
      </c>
      <c r="K957" s="8" t="str">
        <f t="shared" si="3"/>
        <v>2025 - 9</v>
      </c>
    </row>
    <row r="958">
      <c r="A958" s="2">
        <v>954.0</v>
      </c>
      <c r="B958" s="3">
        <v>45920.0</v>
      </c>
      <c r="C958" s="5" t="s">
        <v>18</v>
      </c>
      <c r="D958" s="5" t="s">
        <v>39</v>
      </c>
      <c r="E958" s="6">
        <v>-1044.75</v>
      </c>
      <c r="F958" s="7">
        <f t="shared" si="4"/>
        <v>91987.02</v>
      </c>
      <c r="G958" s="5" t="s">
        <v>235</v>
      </c>
      <c r="H958" s="5"/>
      <c r="I958" s="8">
        <f t="shared" si="7"/>
        <v>9</v>
      </c>
      <c r="J958" s="8">
        <f t="shared" si="8"/>
        <v>2025</v>
      </c>
      <c r="K958" s="8" t="str">
        <f t="shared" si="3"/>
        <v>2025 - 9</v>
      </c>
    </row>
    <row r="959">
      <c r="A959" s="2">
        <v>955.0</v>
      </c>
      <c r="B959" s="3">
        <v>45920.0</v>
      </c>
      <c r="C959" s="5" t="s">
        <v>18</v>
      </c>
      <c r="D959" s="5" t="s">
        <v>10</v>
      </c>
      <c r="E959" s="6">
        <v>-1044.75</v>
      </c>
      <c r="F959" s="7">
        <f t="shared" si="4"/>
        <v>90942.27</v>
      </c>
      <c r="G959" s="5" t="s">
        <v>235</v>
      </c>
      <c r="H959" s="5"/>
      <c r="I959" s="8">
        <f t="shared" si="7"/>
        <v>9</v>
      </c>
      <c r="J959" s="8">
        <f t="shared" si="8"/>
        <v>2025</v>
      </c>
      <c r="K959" s="8" t="str">
        <f t="shared" si="3"/>
        <v>2025 - 9</v>
      </c>
    </row>
    <row r="960">
      <c r="A960" s="2">
        <v>956.0</v>
      </c>
      <c r="B960" s="3">
        <v>45920.0</v>
      </c>
      <c r="C960" s="5" t="s">
        <v>18</v>
      </c>
      <c r="D960" s="5" t="s">
        <v>10</v>
      </c>
      <c r="E960" s="6">
        <v>-449.0</v>
      </c>
      <c r="F960" s="7">
        <f t="shared" si="4"/>
        <v>90493.27</v>
      </c>
      <c r="G960" s="5" t="s">
        <v>234</v>
      </c>
      <c r="H960" s="5"/>
      <c r="I960" s="8">
        <f t="shared" si="7"/>
        <v>9</v>
      </c>
      <c r="J960" s="8">
        <f t="shared" si="8"/>
        <v>2025</v>
      </c>
      <c r="K960" s="8" t="str">
        <f t="shared" si="3"/>
        <v>2025 - 9</v>
      </c>
    </row>
    <row r="961">
      <c r="A961" s="2">
        <v>957.0</v>
      </c>
      <c r="B961" s="3">
        <v>45920.0</v>
      </c>
      <c r="C961" s="5" t="s">
        <v>18</v>
      </c>
      <c r="D961" s="5" t="s">
        <v>10</v>
      </c>
      <c r="E961" s="6">
        <v>-161.7</v>
      </c>
      <c r="F961" s="7">
        <f t="shared" si="4"/>
        <v>90331.57</v>
      </c>
      <c r="G961" s="5" t="s">
        <v>234</v>
      </c>
      <c r="H961" s="5"/>
      <c r="I961" s="8">
        <f t="shared" si="7"/>
        <v>9</v>
      </c>
      <c r="J961" s="8">
        <f t="shared" si="8"/>
        <v>2025</v>
      </c>
      <c r="K961" s="8" t="str">
        <f t="shared" si="3"/>
        <v>2025 - 9</v>
      </c>
    </row>
    <row r="962">
      <c r="A962" s="2">
        <v>958.0</v>
      </c>
      <c r="B962" s="3">
        <v>45920.0</v>
      </c>
      <c r="C962" s="5" t="s">
        <v>9</v>
      </c>
      <c r="D962" s="5" t="s">
        <v>10</v>
      </c>
      <c r="E962" s="6">
        <v>-399.0</v>
      </c>
      <c r="F962" s="7">
        <f t="shared" si="4"/>
        <v>89932.57</v>
      </c>
      <c r="G962" s="5" t="s">
        <v>344</v>
      </c>
      <c r="H962" s="5"/>
      <c r="I962" s="8">
        <f t="shared" si="7"/>
        <v>9</v>
      </c>
      <c r="J962" s="8">
        <f t="shared" si="8"/>
        <v>2025</v>
      </c>
      <c r="K962" s="8" t="str">
        <f t="shared" si="3"/>
        <v>2025 - 9</v>
      </c>
    </row>
    <row r="963">
      <c r="A963" s="2">
        <v>959.0</v>
      </c>
      <c r="B963" s="3">
        <v>45921.0</v>
      </c>
      <c r="C963" s="5" t="s">
        <v>9</v>
      </c>
      <c r="D963" s="5" t="s">
        <v>10</v>
      </c>
      <c r="E963" s="6">
        <v>2.41</v>
      </c>
      <c r="F963" s="7">
        <f t="shared" si="4"/>
        <v>89934.98</v>
      </c>
      <c r="G963" s="5" t="s">
        <v>325</v>
      </c>
      <c r="H963" s="5"/>
      <c r="I963" s="8">
        <f t="shared" si="7"/>
        <v>9</v>
      </c>
      <c r="J963" s="8">
        <f t="shared" si="8"/>
        <v>2025</v>
      </c>
      <c r="K963" s="8" t="str">
        <f t="shared" si="3"/>
        <v>2025 - 9</v>
      </c>
    </row>
    <row r="964">
      <c r="A964" s="2">
        <v>960.0</v>
      </c>
      <c r="B964" s="3">
        <v>45921.0</v>
      </c>
      <c r="C964" s="5" t="s">
        <v>18</v>
      </c>
      <c r="D964" s="5" t="s">
        <v>10</v>
      </c>
      <c r="E964" s="6">
        <v>-184.0</v>
      </c>
      <c r="F964" s="7">
        <f t="shared" si="4"/>
        <v>89750.98</v>
      </c>
      <c r="G964" s="5"/>
      <c r="H964" s="5"/>
      <c r="I964" s="8">
        <f t="shared" si="7"/>
        <v>9</v>
      </c>
      <c r="J964" s="8">
        <f t="shared" si="8"/>
        <v>2025</v>
      </c>
      <c r="K964" s="8" t="str">
        <f t="shared" si="3"/>
        <v>2025 - 9</v>
      </c>
    </row>
    <row r="965">
      <c r="A965" s="2">
        <v>961.0</v>
      </c>
      <c r="B965" s="3">
        <v>45921.0</v>
      </c>
      <c r="C965" s="5" t="s">
        <v>24</v>
      </c>
      <c r="D965" s="5" t="s">
        <v>10</v>
      </c>
      <c r="E965" s="6">
        <v>1313.0</v>
      </c>
      <c r="F965" s="7">
        <f t="shared" si="4"/>
        <v>91063.98</v>
      </c>
      <c r="G965" s="5" t="s">
        <v>345</v>
      </c>
      <c r="H965" s="5"/>
      <c r="I965" s="8">
        <f t="shared" si="7"/>
        <v>9</v>
      </c>
      <c r="J965" s="8">
        <f t="shared" si="8"/>
        <v>2025</v>
      </c>
      <c r="K965" s="8" t="str">
        <f t="shared" si="3"/>
        <v>2025 - 9</v>
      </c>
    </row>
    <row r="966">
      <c r="A966" s="2">
        <v>962.0</v>
      </c>
      <c r="B966" s="3">
        <v>45921.0</v>
      </c>
      <c r="C966" s="5" t="s">
        <v>18</v>
      </c>
      <c r="D966" s="5" t="s">
        <v>10</v>
      </c>
      <c r="E966" s="6">
        <v>-311.9</v>
      </c>
      <c r="F966" s="7">
        <f t="shared" si="4"/>
        <v>90752.08</v>
      </c>
      <c r="G966" s="5" t="s">
        <v>234</v>
      </c>
      <c r="H966" s="5"/>
      <c r="I966" s="8">
        <f t="shared" si="7"/>
        <v>9</v>
      </c>
      <c r="J966" s="8">
        <f t="shared" si="8"/>
        <v>2025</v>
      </c>
      <c r="K966" s="8" t="str">
        <f t="shared" si="3"/>
        <v>2025 - 9</v>
      </c>
    </row>
    <row r="967">
      <c r="A967" s="2">
        <v>963.0</v>
      </c>
      <c r="B967" s="3">
        <v>45922.0</v>
      </c>
      <c r="C967" s="5" t="s">
        <v>24</v>
      </c>
      <c r="D967" s="5" t="s">
        <v>10</v>
      </c>
      <c r="E967" s="6">
        <v>160.0</v>
      </c>
      <c r="F967" s="7">
        <f t="shared" si="4"/>
        <v>90912.08</v>
      </c>
      <c r="G967" s="5" t="s">
        <v>346</v>
      </c>
      <c r="H967" s="5"/>
      <c r="I967" s="8">
        <f t="shared" si="7"/>
        <v>9</v>
      </c>
      <c r="J967" s="8">
        <f t="shared" si="8"/>
        <v>2025</v>
      </c>
      <c r="K967" s="8" t="str">
        <f t="shared" si="3"/>
        <v>2025 - 9</v>
      </c>
    </row>
    <row r="968">
      <c r="A968" s="2">
        <v>964.0</v>
      </c>
      <c r="B968" s="3">
        <v>45922.0</v>
      </c>
      <c r="C968" s="5" t="s">
        <v>24</v>
      </c>
      <c r="D968" s="5" t="s">
        <v>10</v>
      </c>
      <c r="E968" s="6">
        <v>271.29</v>
      </c>
      <c r="F968" s="7">
        <f t="shared" si="4"/>
        <v>91183.37</v>
      </c>
      <c r="G968" s="5" t="s">
        <v>346</v>
      </c>
      <c r="H968" s="5"/>
      <c r="I968" s="8">
        <f t="shared" si="7"/>
        <v>9</v>
      </c>
      <c r="J968" s="8">
        <f t="shared" si="8"/>
        <v>2025</v>
      </c>
      <c r="K968" s="8" t="str">
        <f t="shared" si="3"/>
        <v>2025 - 9</v>
      </c>
    </row>
    <row r="969">
      <c r="A969" s="2">
        <v>965.0</v>
      </c>
      <c r="B969" s="3">
        <v>45922.0</v>
      </c>
      <c r="C969" s="5" t="s">
        <v>18</v>
      </c>
      <c r="D969" s="5" t="s">
        <v>10</v>
      </c>
      <c r="E969" s="6">
        <v>-90.0</v>
      </c>
      <c r="F969" s="7">
        <f t="shared" si="4"/>
        <v>91093.37</v>
      </c>
      <c r="G969" s="5" t="s">
        <v>282</v>
      </c>
      <c r="H969" s="5"/>
      <c r="I969" s="8">
        <f t="shared" si="7"/>
        <v>9</v>
      </c>
      <c r="J969" s="8">
        <f t="shared" si="8"/>
        <v>2025</v>
      </c>
      <c r="K969" s="8" t="str">
        <f t="shared" si="3"/>
        <v>2025 - 9</v>
      </c>
    </row>
    <row r="970">
      <c r="A970" s="2">
        <v>966.0</v>
      </c>
      <c r="B970" s="3">
        <v>45922.0</v>
      </c>
      <c r="C970" s="5" t="s">
        <v>24</v>
      </c>
      <c r="D970" s="5" t="s">
        <v>10</v>
      </c>
      <c r="E970" s="6">
        <v>271.29</v>
      </c>
      <c r="F970" s="7">
        <f t="shared" si="4"/>
        <v>91364.66</v>
      </c>
      <c r="G970" s="5" t="s">
        <v>347</v>
      </c>
      <c r="H970" s="5"/>
      <c r="I970" s="8">
        <f t="shared" si="7"/>
        <v>9</v>
      </c>
      <c r="J970" s="8">
        <f t="shared" si="8"/>
        <v>2025</v>
      </c>
      <c r="K970" s="8" t="str">
        <f t="shared" si="3"/>
        <v>2025 - 9</v>
      </c>
    </row>
    <row r="971">
      <c r="A971" s="2">
        <v>967.0</v>
      </c>
      <c r="B971" s="3">
        <v>45922.0</v>
      </c>
      <c r="C971" s="5" t="s">
        <v>24</v>
      </c>
      <c r="D971" s="5" t="s">
        <v>10</v>
      </c>
      <c r="E971" s="6">
        <v>431.0</v>
      </c>
      <c r="F971" s="7">
        <f t="shared" si="4"/>
        <v>91795.66</v>
      </c>
      <c r="G971" s="5" t="s">
        <v>289</v>
      </c>
      <c r="H971" s="5"/>
      <c r="I971" s="8">
        <f t="shared" si="7"/>
        <v>9</v>
      </c>
      <c r="J971" s="8">
        <f t="shared" si="8"/>
        <v>2025</v>
      </c>
      <c r="K971" s="8" t="str">
        <f t="shared" si="3"/>
        <v>2025 - 9</v>
      </c>
    </row>
    <row r="972">
      <c r="A972" s="2">
        <v>968.0</v>
      </c>
      <c r="B972" s="3">
        <v>45923.0</v>
      </c>
      <c r="C972" s="5" t="s">
        <v>9</v>
      </c>
      <c r="D972" s="5" t="s">
        <v>10</v>
      </c>
      <c r="E972" s="6">
        <v>1044.75</v>
      </c>
      <c r="F972" s="7">
        <f t="shared" si="4"/>
        <v>92840.41</v>
      </c>
      <c r="G972" s="5" t="s">
        <v>278</v>
      </c>
      <c r="H972" s="5"/>
      <c r="I972" s="8">
        <f t="shared" si="7"/>
        <v>9</v>
      </c>
      <c r="J972" s="8">
        <f t="shared" si="8"/>
        <v>2025</v>
      </c>
      <c r="K972" s="8" t="str">
        <f t="shared" si="3"/>
        <v>2025 - 9</v>
      </c>
    </row>
    <row r="973">
      <c r="A973" s="2">
        <v>969.0</v>
      </c>
      <c r="B973" s="3">
        <v>45923.0</v>
      </c>
      <c r="C973" s="5" t="s">
        <v>18</v>
      </c>
      <c r="D973" s="5" t="s">
        <v>39</v>
      </c>
      <c r="E973" s="6">
        <v>-1401.0</v>
      </c>
      <c r="F973" s="7">
        <f t="shared" si="4"/>
        <v>91439.41</v>
      </c>
      <c r="G973" s="5" t="s">
        <v>258</v>
      </c>
      <c r="H973" s="5"/>
      <c r="I973" s="8">
        <f t="shared" si="7"/>
        <v>9</v>
      </c>
      <c r="J973" s="8">
        <f t="shared" si="8"/>
        <v>2025</v>
      </c>
      <c r="K973" s="8" t="str">
        <f t="shared" si="3"/>
        <v>2025 - 9</v>
      </c>
    </row>
    <row r="974">
      <c r="A974" s="2">
        <v>970.0</v>
      </c>
      <c r="B974" s="3">
        <v>45924.0</v>
      </c>
      <c r="C974" s="5" t="s">
        <v>24</v>
      </c>
      <c r="D974" s="5" t="s">
        <v>10</v>
      </c>
      <c r="E974" s="6">
        <v>210.0</v>
      </c>
      <c r="F974" s="7">
        <f t="shared" si="4"/>
        <v>91649.41</v>
      </c>
      <c r="G974" s="5" t="s">
        <v>266</v>
      </c>
      <c r="H974" s="5"/>
      <c r="I974" s="8">
        <f t="shared" si="7"/>
        <v>9</v>
      </c>
      <c r="J974" s="8">
        <f t="shared" si="8"/>
        <v>2025</v>
      </c>
      <c r="K974" s="8" t="str">
        <f t="shared" si="3"/>
        <v>2025 - 9</v>
      </c>
    </row>
    <row r="975">
      <c r="A975" s="2">
        <v>971.0</v>
      </c>
      <c r="B975" s="3">
        <v>45924.0</v>
      </c>
      <c r="C975" s="5" t="s">
        <v>24</v>
      </c>
      <c r="D975" s="5" t="s">
        <v>10</v>
      </c>
      <c r="E975" s="6">
        <v>160.0</v>
      </c>
      <c r="F975" s="7">
        <f t="shared" si="4"/>
        <v>91809.41</v>
      </c>
      <c r="G975" s="5" t="s">
        <v>266</v>
      </c>
      <c r="H975" s="5"/>
      <c r="I975" s="8">
        <f t="shared" si="7"/>
        <v>9</v>
      </c>
      <c r="J975" s="8">
        <f t="shared" si="8"/>
        <v>2025</v>
      </c>
      <c r="K975" s="8" t="str">
        <f t="shared" si="3"/>
        <v>2025 - 9</v>
      </c>
    </row>
    <row r="976">
      <c r="A976" s="2">
        <v>972.0</v>
      </c>
      <c r="B976" s="3">
        <v>45924.0</v>
      </c>
      <c r="C976" s="5" t="s">
        <v>24</v>
      </c>
      <c r="D976" s="5" t="s">
        <v>10</v>
      </c>
      <c r="E976" s="6">
        <v>270.0</v>
      </c>
      <c r="F976" s="7">
        <f t="shared" si="4"/>
        <v>92079.41</v>
      </c>
      <c r="G976" s="5" t="s">
        <v>266</v>
      </c>
      <c r="H976" s="5"/>
      <c r="I976" s="8">
        <f t="shared" si="7"/>
        <v>9</v>
      </c>
      <c r="J976" s="8">
        <f t="shared" si="8"/>
        <v>2025</v>
      </c>
      <c r="K976" s="8" t="str">
        <f t="shared" si="3"/>
        <v>2025 - 9</v>
      </c>
    </row>
    <row r="977">
      <c r="A977" s="2">
        <v>973.0</v>
      </c>
      <c r="B977" s="3">
        <v>45924.0</v>
      </c>
      <c r="C977" s="5" t="s">
        <v>24</v>
      </c>
      <c r="D977" s="5" t="s">
        <v>10</v>
      </c>
      <c r="E977" s="6">
        <v>271.28</v>
      </c>
      <c r="F977" s="7">
        <f t="shared" si="4"/>
        <v>92350.69</v>
      </c>
      <c r="G977" s="5" t="s">
        <v>266</v>
      </c>
      <c r="H977" s="5"/>
      <c r="I977" s="8">
        <f t="shared" si="7"/>
        <v>9</v>
      </c>
      <c r="J977" s="8">
        <f t="shared" si="8"/>
        <v>2025</v>
      </c>
      <c r="K977" s="8" t="str">
        <f t="shared" si="3"/>
        <v>2025 - 9</v>
      </c>
    </row>
    <row r="978">
      <c r="A978" s="2">
        <v>974.0</v>
      </c>
      <c r="B978" s="3">
        <v>45924.0</v>
      </c>
      <c r="C978" s="5" t="s">
        <v>24</v>
      </c>
      <c r="D978" s="5" t="s">
        <v>10</v>
      </c>
      <c r="E978" s="6">
        <v>271.29</v>
      </c>
      <c r="F978" s="7">
        <f t="shared" si="4"/>
        <v>92621.98</v>
      </c>
      <c r="G978" s="5" t="s">
        <v>348</v>
      </c>
      <c r="H978" s="5"/>
      <c r="I978" s="8">
        <f t="shared" si="7"/>
        <v>9</v>
      </c>
      <c r="J978" s="8">
        <f t="shared" si="8"/>
        <v>2025</v>
      </c>
      <c r="K978" s="8" t="str">
        <f t="shared" si="3"/>
        <v>2025 - 9</v>
      </c>
    </row>
    <row r="979">
      <c r="A979" s="2">
        <v>975.0</v>
      </c>
      <c r="B979" s="3">
        <v>45925.0</v>
      </c>
      <c r="C979" s="5" t="s">
        <v>38</v>
      </c>
      <c r="D979" s="5" t="s">
        <v>39</v>
      </c>
      <c r="E979" s="6">
        <v>-538.0</v>
      </c>
      <c r="F979" s="7">
        <f t="shared" si="4"/>
        <v>92083.98</v>
      </c>
      <c r="G979" s="5" t="s">
        <v>349</v>
      </c>
      <c r="H979" s="5"/>
      <c r="I979" s="8">
        <f t="shared" si="7"/>
        <v>9</v>
      </c>
      <c r="J979" s="8">
        <f t="shared" si="8"/>
        <v>2025</v>
      </c>
      <c r="K979" s="8" t="str">
        <f t="shared" si="3"/>
        <v>2025 - 9</v>
      </c>
    </row>
    <row r="980">
      <c r="A980" s="2">
        <v>976.0</v>
      </c>
      <c r="B980" s="3">
        <v>45925.0</v>
      </c>
      <c r="C980" s="5" t="s">
        <v>24</v>
      </c>
      <c r="D980" s="5" t="s">
        <v>10</v>
      </c>
      <c r="E980" s="6">
        <v>114.0</v>
      </c>
      <c r="F980" s="7">
        <f t="shared" si="4"/>
        <v>92197.98</v>
      </c>
      <c r="G980" s="5" t="s">
        <v>70</v>
      </c>
      <c r="H980" s="5"/>
      <c r="I980" s="8">
        <f t="shared" si="7"/>
        <v>9</v>
      </c>
      <c r="J980" s="8">
        <f t="shared" si="8"/>
        <v>2025</v>
      </c>
      <c r="K980" s="8" t="str">
        <f t="shared" si="3"/>
        <v>2025 - 9</v>
      </c>
    </row>
    <row r="981">
      <c r="A981" s="2">
        <v>977.0</v>
      </c>
      <c r="B981" s="3">
        <v>45925.0</v>
      </c>
      <c r="C981" s="5" t="s">
        <v>18</v>
      </c>
      <c r="D981" s="5" t="s">
        <v>10</v>
      </c>
      <c r="E981" s="6">
        <v>-395.9</v>
      </c>
      <c r="F981" s="7">
        <f t="shared" si="4"/>
        <v>91802.08</v>
      </c>
      <c r="G981" s="5" t="s">
        <v>234</v>
      </c>
      <c r="H981" s="5"/>
      <c r="I981" s="8">
        <f t="shared" si="7"/>
        <v>9</v>
      </c>
      <c r="J981" s="8">
        <f t="shared" si="8"/>
        <v>2025</v>
      </c>
      <c r="K981" s="8" t="str">
        <f t="shared" si="3"/>
        <v>2025 - 9</v>
      </c>
    </row>
    <row r="982">
      <c r="A982" s="2">
        <v>978.0</v>
      </c>
      <c r="B982" s="3">
        <v>45926.0</v>
      </c>
      <c r="C982" s="5" t="s">
        <v>49</v>
      </c>
      <c r="D982" s="5" t="s">
        <v>10</v>
      </c>
      <c r="E982" s="6">
        <v>-299.0</v>
      </c>
      <c r="F982" s="7">
        <f t="shared" si="4"/>
        <v>91503.08</v>
      </c>
      <c r="G982" s="5" t="s">
        <v>118</v>
      </c>
      <c r="H982" s="5"/>
      <c r="I982" s="8">
        <f t="shared" si="7"/>
        <v>9</v>
      </c>
      <c r="J982" s="8">
        <f t="shared" si="8"/>
        <v>2025</v>
      </c>
      <c r="K982" s="8" t="str">
        <f t="shared" si="3"/>
        <v>2025 - 9</v>
      </c>
    </row>
    <row r="983">
      <c r="A983" s="2">
        <v>979.0</v>
      </c>
      <c r="B983" s="3">
        <v>45926.0</v>
      </c>
      <c r="C983" s="5" t="s">
        <v>18</v>
      </c>
      <c r="D983" s="5" t="s">
        <v>10</v>
      </c>
      <c r="E983" s="6">
        <v>-185.0</v>
      </c>
      <c r="F983" s="7">
        <f t="shared" si="4"/>
        <v>91318.08</v>
      </c>
      <c r="G983" s="5" t="s">
        <v>282</v>
      </c>
      <c r="H983" s="5"/>
      <c r="I983" s="8">
        <f t="shared" si="7"/>
        <v>9</v>
      </c>
      <c r="J983" s="8">
        <f t="shared" si="8"/>
        <v>2025</v>
      </c>
      <c r="K983" s="8" t="str">
        <f t="shared" si="3"/>
        <v>2025 - 9</v>
      </c>
    </row>
    <row r="984">
      <c r="A984" s="2">
        <v>980.0</v>
      </c>
      <c r="B984" s="3">
        <v>45926.0</v>
      </c>
      <c r="C984" s="5" t="s">
        <v>18</v>
      </c>
      <c r="D984" s="5" t="s">
        <v>10</v>
      </c>
      <c r="E984" s="6">
        <v>-801.0</v>
      </c>
      <c r="F984" s="7">
        <f t="shared" si="4"/>
        <v>90517.08</v>
      </c>
      <c r="G984" s="5" t="s">
        <v>235</v>
      </c>
      <c r="H984" s="5"/>
      <c r="I984" s="8">
        <f t="shared" si="7"/>
        <v>9</v>
      </c>
      <c r="J984" s="8">
        <f t="shared" si="8"/>
        <v>2025</v>
      </c>
      <c r="K984" s="8" t="str">
        <f t="shared" si="3"/>
        <v>2025 - 9</v>
      </c>
    </row>
    <row r="985">
      <c r="A985" s="2">
        <v>981.0</v>
      </c>
      <c r="B985" s="3">
        <v>45927.0</v>
      </c>
      <c r="C985" s="5" t="s">
        <v>38</v>
      </c>
      <c r="D985" s="5" t="s">
        <v>39</v>
      </c>
      <c r="E985" s="6">
        <v>-538.0</v>
      </c>
      <c r="F985" s="7">
        <f t="shared" si="4"/>
        <v>89979.08</v>
      </c>
      <c r="G985" s="5" t="s">
        <v>349</v>
      </c>
      <c r="H985" s="5"/>
      <c r="I985" s="8">
        <f t="shared" si="7"/>
        <v>9</v>
      </c>
      <c r="J985" s="8">
        <f t="shared" si="8"/>
        <v>2025</v>
      </c>
      <c r="K985" s="8" t="str">
        <f t="shared" si="3"/>
        <v>2025 - 9</v>
      </c>
    </row>
    <row r="986">
      <c r="A986" s="2">
        <v>982.0</v>
      </c>
      <c r="B986" s="3">
        <v>45927.0</v>
      </c>
      <c r="C986" s="5" t="s">
        <v>24</v>
      </c>
      <c r="D986" s="5" t="s">
        <v>10</v>
      </c>
      <c r="E986" s="6">
        <v>1313.0</v>
      </c>
      <c r="F986" s="7">
        <f t="shared" si="4"/>
        <v>91292.08</v>
      </c>
      <c r="G986" s="5" t="s">
        <v>350</v>
      </c>
      <c r="H986" s="5"/>
      <c r="I986" s="8">
        <f t="shared" si="7"/>
        <v>9</v>
      </c>
      <c r="J986" s="8">
        <f t="shared" si="8"/>
        <v>2025</v>
      </c>
      <c r="K986" s="8" t="str">
        <f t="shared" si="3"/>
        <v>2025 - 9</v>
      </c>
    </row>
    <row r="987">
      <c r="A987" s="2">
        <v>983.0</v>
      </c>
      <c r="B987" s="3">
        <v>45927.0</v>
      </c>
      <c r="C987" s="5" t="s">
        <v>38</v>
      </c>
      <c r="D987" s="5" t="s">
        <v>39</v>
      </c>
      <c r="E987" s="6">
        <v>-676.0</v>
      </c>
      <c r="F987" s="7">
        <f t="shared" si="4"/>
        <v>90616.08</v>
      </c>
      <c r="G987" s="5" t="s">
        <v>349</v>
      </c>
      <c r="H987" s="5"/>
      <c r="I987" s="8">
        <f t="shared" si="7"/>
        <v>9</v>
      </c>
      <c r="J987" s="8">
        <f t="shared" si="8"/>
        <v>2025</v>
      </c>
      <c r="K987" s="8" t="str">
        <f t="shared" si="3"/>
        <v>2025 - 9</v>
      </c>
    </row>
    <row r="988">
      <c r="A988" s="2">
        <v>984.0</v>
      </c>
      <c r="B988" s="3">
        <v>45927.0</v>
      </c>
      <c r="C988" s="5" t="s">
        <v>38</v>
      </c>
      <c r="D988" s="5" t="s">
        <v>39</v>
      </c>
      <c r="E988" s="6">
        <v>-1106.0</v>
      </c>
      <c r="F988" s="7">
        <f t="shared" si="4"/>
        <v>89510.08</v>
      </c>
      <c r="G988" s="5" t="s">
        <v>349</v>
      </c>
      <c r="H988" s="5"/>
      <c r="I988" s="8">
        <f t="shared" si="7"/>
        <v>9</v>
      </c>
      <c r="J988" s="8">
        <f t="shared" si="8"/>
        <v>2025</v>
      </c>
      <c r="K988" s="8" t="str">
        <f t="shared" si="3"/>
        <v>2025 - 9</v>
      </c>
    </row>
    <row r="989">
      <c r="A989" s="2">
        <v>985.0</v>
      </c>
      <c r="B989" s="3">
        <v>45927.0</v>
      </c>
      <c r="C989" s="5" t="s">
        <v>18</v>
      </c>
      <c r="D989" s="5" t="s">
        <v>39</v>
      </c>
      <c r="E989" s="6">
        <v>-1070.0</v>
      </c>
      <c r="F989" s="7">
        <f t="shared" si="4"/>
        <v>88440.08</v>
      </c>
      <c r="G989" s="5" t="s">
        <v>351</v>
      </c>
      <c r="H989" s="5"/>
      <c r="I989" s="8">
        <f t="shared" si="7"/>
        <v>9</v>
      </c>
      <c r="J989" s="8">
        <f t="shared" si="8"/>
        <v>2025</v>
      </c>
      <c r="K989" s="8" t="str">
        <f t="shared" si="3"/>
        <v>2025 - 9</v>
      </c>
    </row>
    <row r="990">
      <c r="A990" s="2">
        <v>986.0</v>
      </c>
      <c r="B990" s="3">
        <v>45927.0</v>
      </c>
      <c r="C990" s="5" t="s">
        <v>18</v>
      </c>
      <c r="D990" s="5" t="s">
        <v>10</v>
      </c>
      <c r="E990" s="6">
        <v>-656.23</v>
      </c>
      <c r="F990" s="7">
        <f t="shared" si="4"/>
        <v>87783.85</v>
      </c>
      <c r="G990" s="5" t="s">
        <v>235</v>
      </c>
      <c r="H990" s="5"/>
      <c r="I990" s="8">
        <f t="shared" si="7"/>
        <v>9</v>
      </c>
      <c r="J990" s="8">
        <f t="shared" si="8"/>
        <v>2025</v>
      </c>
      <c r="K990" s="8" t="str">
        <f t="shared" si="3"/>
        <v>2025 - 9</v>
      </c>
    </row>
    <row r="991">
      <c r="A991" s="2">
        <v>987.0</v>
      </c>
      <c r="B991" s="3">
        <v>45927.0</v>
      </c>
      <c r="C991" s="5" t="s">
        <v>9</v>
      </c>
      <c r="D991" s="5" t="s">
        <v>10</v>
      </c>
      <c r="E991" s="6">
        <v>200.0</v>
      </c>
      <c r="F991" s="7">
        <f t="shared" si="4"/>
        <v>87983.85</v>
      </c>
      <c r="G991" s="5" t="s">
        <v>278</v>
      </c>
      <c r="H991" s="5"/>
      <c r="I991" s="8">
        <f t="shared" si="7"/>
        <v>9</v>
      </c>
      <c r="J991" s="8">
        <f t="shared" si="8"/>
        <v>2025</v>
      </c>
      <c r="K991" s="8" t="str">
        <f t="shared" si="3"/>
        <v>2025 - 9</v>
      </c>
    </row>
    <row r="992">
      <c r="A992" s="2">
        <v>988.0</v>
      </c>
      <c r="B992" s="3">
        <v>45927.0</v>
      </c>
      <c r="C992" s="5" t="s">
        <v>35</v>
      </c>
      <c r="D992" s="5" t="s">
        <v>13</v>
      </c>
      <c r="E992" s="6">
        <v>-25000.0</v>
      </c>
      <c r="F992" s="7">
        <f t="shared" si="4"/>
        <v>62983.85</v>
      </c>
      <c r="G992" s="5" t="s">
        <v>36</v>
      </c>
      <c r="H992" s="5"/>
      <c r="I992" s="8">
        <f t="shared" si="7"/>
        <v>9</v>
      </c>
      <c r="J992" s="8">
        <f t="shared" si="8"/>
        <v>2025</v>
      </c>
      <c r="K992" s="8" t="str">
        <f t="shared" si="3"/>
        <v>2025 - 9</v>
      </c>
    </row>
    <row r="993">
      <c r="A993" s="2">
        <v>989.0</v>
      </c>
      <c r="B993" s="3">
        <v>45927.0</v>
      </c>
      <c r="C993" s="5" t="s">
        <v>24</v>
      </c>
      <c r="D993" s="5" t="s">
        <v>10</v>
      </c>
      <c r="E993" s="6">
        <v>463.0</v>
      </c>
      <c r="F993" s="7">
        <f t="shared" si="4"/>
        <v>63446.85</v>
      </c>
      <c r="G993" s="5" t="s">
        <v>190</v>
      </c>
      <c r="H993" s="5"/>
      <c r="I993" s="8">
        <f t="shared" si="7"/>
        <v>9</v>
      </c>
      <c r="J993" s="8">
        <f t="shared" si="8"/>
        <v>2025</v>
      </c>
      <c r="K993" s="8" t="str">
        <f t="shared" si="3"/>
        <v>2025 - 9</v>
      </c>
    </row>
    <row r="994">
      <c r="A994" s="2">
        <v>990.0</v>
      </c>
      <c r="B994" s="3">
        <v>45927.0</v>
      </c>
      <c r="C994" s="5" t="s">
        <v>24</v>
      </c>
      <c r="D994" s="5" t="s">
        <v>10</v>
      </c>
      <c r="E994" s="6">
        <v>463.0</v>
      </c>
      <c r="F994" s="7">
        <f t="shared" si="4"/>
        <v>63909.85</v>
      </c>
      <c r="G994" s="5" t="s">
        <v>352</v>
      </c>
      <c r="H994" s="5"/>
      <c r="I994" s="8">
        <f t="shared" si="7"/>
        <v>9</v>
      </c>
      <c r="J994" s="8">
        <f t="shared" si="8"/>
        <v>2025</v>
      </c>
      <c r="K994" s="8" t="str">
        <f t="shared" si="3"/>
        <v>2025 - 9</v>
      </c>
    </row>
    <row r="995">
      <c r="A995" s="2">
        <v>991.0</v>
      </c>
      <c r="B995" s="3">
        <v>45927.0</v>
      </c>
      <c r="C995" s="5" t="s">
        <v>18</v>
      </c>
      <c r="D995" s="5" t="s">
        <v>10</v>
      </c>
      <c r="E995" s="6">
        <v>-1530.0</v>
      </c>
      <c r="F995" s="7">
        <f t="shared" si="4"/>
        <v>62379.85</v>
      </c>
      <c r="G995" s="5" t="s">
        <v>353</v>
      </c>
      <c r="H995" s="5"/>
      <c r="I995" s="8">
        <f t="shared" si="7"/>
        <v>9</v>
      </c>
      <c r="J995" s="8">
        <f t="shared" si="8"/>
        <v>2025</v>
      </c>
      <c r="K995" s="8" t="str">
        <f t="shared" si="3"/>
        <v>2025 - 9</v>
      </c>
    </row>
    <row r="996">
      <c r="A996" s="2">
        <v>992.0</v>
      </c>
      <c r="B996" s="3">
        <v>45928.0</v>
      </c>
      <c r="C996" s="5" t="s">
        <v>9</v>
      </c>
      <c r="D996" s="5" t="s">
        <v>10</v>
      </c>
      <c r="E996" s="6">
        <v>-1849.41</v>
      </c>
      <c r="F996" s="7">
        <f t="shared" si="4"/>
        <v>60530.44</v>
      </c>
      <c r="G996" s="5" t="s">
        <v>354</v>
      </c>
      <c r="H996" s="5"/>
      <c r="I996" s="8">
        <f t="shared" si="7"/>
        <v>9</v>
      </c>
      <c r="J996" s="8">
        <f t="shared" si="8"/>
        <v>2025</v>
      </c>
      <c r="K996" s="8" t="str">
        <f t="shared" si="3"/>
        <v>2025 - 9</v>
      </c>
    </row>
    <row r="997">
      <c r="A997" s="2">
        <v>993.0</v>
      </c>
      <c r="B997" s="3">
        <v>45928.0</v>
      </c>
      <c r="C997" s="5" t="s">
        <v>18</v>
      </c>
      <c r="D997" s="5" t="s">
        <v>10</v>
      </c>
      <c r="E997" s="6">
        <v>-484.1</v>
      </c>
      <c r="F997" s="7">
        <f t="shared" si="4"/>
        <v>60046.34</v>
      </c>
      <c r="G997" s="5" t="s">
        <v>234</v>
      </c>
      <c r="H997" s="5"/>
      <c r="I997" s="8">
        <f t="shared" si="7"/>
        <v>9</v>
      </c>
      <c r="J997" s="8">
        <f t="shared" si="8"/>
        <v>2025</v>
      </c>
      <c r="K997" s="8" t="str">
        <f t="shared" si="3"/>
        <v>2025 - 9</v>
      </c>
    </row>
    <row r="998">
      <c r="A998" s="2">
        <v>994.0</v>
      </c>
      <c r="B998" s="3">
        <v>45928.0</v>
      </c>
      <c r="C998" s="5" t="s">
        <v>24</v>
      </c>
      <c r="D998" s="5" t="s">
        <v>10</v>
      </c>
      <c r="E998" s="6">
        <v>380.0</v>
      </c>
      <c r="F998" s="7">
        <f t="shared" si="4"/>
        <v>60426.34</v>
      </c>
      <c r="G998" s="5" t="s">
        <v>266</v>
      </c>
      <c r="H998" s="5"/>
      <c r="I998" s="8">
        <f t="shared" si="7"/>
        <v>9</v>
      </c>
      <c r="J998" s="8">
        <f t="shared" si="8"/>
        <v>2025</v>
      </c>
      <c r="K998" s="8" t="str">
        <f t="shared" si="3"/>
        <v>2025 - 9</v>
      </c>
    </row>
    <row r="999">
      <c r="A999" s="2">
        <v>995.0</v>
      </c>
      <c r="B999" s="3">
        <v>45928.0</v>
      </c>
      <c r="C999" s="5" t="s">
        <v>24</v>
      </c>
      <c r="D999" s="5" t="s">
        <v>10</v>
      </c>
      <c r="E999" s="6">
        <v>1800.0</v>
      </c>
      <c r="F999" s="7">
        <f t="shared" si="4"/>
        <v>62226.34</v>
      </c>
      <c r="G999" s="5" t="s">
        <v>355</v>
      </c>
      <c r="H999" s="5"/>
      <c r="I999" s="8">
        <f t="shared" si="7"/>
        <v>9</v>
      </c>
      <c r="J999" s="8">
        <f t="shared" si="8"/>
        <v>2025</v>
      </c>
      <c r="K999" s="8" t="str">
        <f t="shared" si="3"/>
        <v>2025 - 9</v>
      </c>
    </row>
    <row r="1000">
      <c r="A1000" s="2"/>
      <c r="B1000" s="3"/>
      <c r="C1000" s="5"/>
      <c r="D1000" s="5"/>
      <c r="E1000" s="6"/>
      <c r="F1000" s="4" t="str">
        <f t="shared" si="4"/>
        <v/>
      </c>
      <c r="G1000" s="5"/>
      <c r="H1000" s="5"/>
      <c r="I1000" s="8" t="str">
        <f t="shared" si="7"/>
        <v/>
      </c>
      <c r="J1000" s="8" t="str">
        <f t="shared" si="8"/>
        <v/>
      </c>
      <c r="K1000" s="8" t="str">
        <f t="shared" si="3"/>
        <v/>
      </c>
    </row>
    <row r="1001">
      <c r="A1001" s="2"/>
      <c r="B1001" s="3"/>
      <c r="C1001" s="5"/>
      <c r="D1001" s="5"/>
      <c r="E1001" s="6"/>
      <c r="F1001" s="4" t="str">
        <f t="shared" si="4"/>
        <v/>
      </c>
      <c r="G1001" s="5"/>
      <c r="H1001" s="5"/>
      <c r="I1001" s="8" t="str">
        <f t="shared" si="7"/>
        <v/>
      </c>
      <c r="J1001" s="8" t="str">
        <f t="shared" si="8"/>
        <v/>
      </c>
      <c r="K1001" s="8" t="str">
        <f t="shared" si="3"/>
        <v/>
      </c>
    </row>
    <row r="1002">
      <c r="A1002" s="2"/>
      <c r="B1002" s="3"/>
      <c r="C1002" s="5"/>
      <c r="D1002" s="5"/>
      <c r="E1002" s="6"/>
      <c r="F1002" s="4" t="str">
        <f t="shared" si="4"/>
        <v/>
      </c>
      <c r="G1002" s="5"/>
      <c r="H1002" s="5"/>
      <c r="I1002" s="8" t="str">
        <f t="shared" si="7"/>
        <v/>
      </c>
      <c r="J1002" s="8" t="str">
        <f t="shared" si="8"/>
        <v/>
      </c>
      <c r="K1002" s="8" t="str">
        <f t="shared" si="3"/>
        <v/>
      </c>
    </row>
    <row r="1003">
      <c r="A1003" s="2"/>
      <c r="B1003" s="3"/>
      <c r="C1003" s="5"/>
      <c r="D1003" s="5"/>
      <c r="E1003" s="6"/>
      <c r="F1003" s="4" t="str">
        <f t="shared" si="4"/>
        <v/>
      </c>
      <c r="G1003" s="5"/>
      <c r="H1003" s="5"/>
      <c r="I1003" s="8" t="str">
        <f t="shared" si="7"/>
        <v/>
      </c>
      <c r="J1003" s="8" t="str">
        <f t="shared" si="8"/>
        <v/>
      </c>
      <c r="K1003" s="8" t="str">
        <f t="shared" si="3"/>
        <v/>
      </c>
    </row>
    <row r="1004">
      <c r="A1004" s="2"/>
      <c r="B1004" s="3"/>
      <c r="C1004" s="5"/>
      <c r="D1004" s="5"/>
      <c r="E1004" s="6"/>
      <c r="F1004" s="4" t="str">
        <f t="shared" si="4"/>
        <v/>
      </c>
      <c r="G1004" s="5"/>
      <c r="H1004" s="5"/>
      <c r="I1004" s="8" t="str">
        <f t="shared" si="7"/>
        <v/>
      </c>
      <c r="J1004" s="8" t="str">
        <f t="shared" si="8"/>
        <v/>
      </c>
      <c r="K1004" s="8" t="str">
        <f t="shared" si="3"/>
        <v/>
      </c>
    </row>
    <row r="1005">
      <c r="A1005" s="2"/>
      <c r="B1005" s="3"/>
      <c r="C1005" s="5"/>
      <c r="D1005" s="5"/>
      <c r="E1005" s="6"/>
      <c r="F1005" s="4" t="str">
        <f t="shared" si="4"/>
        <v/>
      </c>
      <c r="G1005" s="5"/>
      <c r="H1005" s="5"/>
      <c r="I1005" s="8" t="str">
        <f t="shared" si="7"/>
        <v/>
      </c>
      <c r="J1005" s="8" t="str">
        <f t="shared" si="8"/>
        <v/>
      </c>
      <c r="K1005" s="8" t="str">
        <f t="shared" si="3"/>
        <v/>
      </c>
    </row>
    <row r="1006">
      <c r="A1006" s="2"/>
      <c r="B1006" s="3"/>
      <c r="C1006" s="5"/>
      <c r="D1006" s="5"/>
      <c r="E1006" s="6"/>
      <c r="F1006" s="4" t="str">
        <f t="shared" si="4"/>
        <v/>
      </c>
      <c r="G1006" s="5"/>
      <c r="H1006" s="5"/>
      <c r="I1006" s="8" t="str">
        <f t="shared" si="7"/>
        <v/>
      </c>
      <c r="J1006" s="8" t="str">
        <f t="shared" si="8"/>
        <v/>
      </c>
      <c r="K1006" s="8" t="str">
        <f t="shared" si="3"/>
        <v/>
      </c>
    </row>
    <row r="1007">
      <c r="A1007" s="2"/>
      <c r="B1007" s="3"/>
      <c r="C1007" s="5"/>
      <c r="D1007" s="5"/>
      <c r="E1007" s="6"/>
      <c r="F1007" s="4" t="str">
        <f t="shared" si="4"/>
        <v/>
      </c>
      <c r="G1007" s="5"/>
      <c r="H1007" s="5"/>
      <c r="I1007" s="8" t="str">
        <f t="shared" si="7"/>
        <v/>
      </c>
      <c r="J1007" s="8" t="str">
        <f t="shared" si="8"/>
        <v/>
      </c>
      <c r="K1007" s="8" t="str">
        <f t="shared" si="3"/>
        <v/>
      </c>
    </row>
    <row r="1008">
      <c r="A1008" s="2"/>
      <c r="B1008" s="3"/>
      <c r="C1008" s="5"/>
      <c r="D1008" s="5"/>
      <c r="E1008" s="6"/>
      <c r="F1008" s="4" t="str">
        <f t="shared" si="4"/>
        <v/>
      </c>
      <c r="G1008" s="5"/>
      <c r="H1008" s="5"/>
      <c r="I1008" s="8" t="str">
        <f t="shared" si="7"/>
        <v/>
      </c>
      <c r="J1008" s="8" t="str">
        <f t="shared" si="8"/>
        <v/>
      </c>
      <c r="K1008" s="8" t="str">
        <f t="shared" si="3"/>
        <v/>
      </c>
    </row>
    <row r="1009">
      <c r="A1009" s="2"/>
      <c r="B1009" s="3"/>
      <c r="C1009" s="5"/>
      <c r="D1009" s="5"/>
      <c r="E1009" s="6"/>
      <c r="F1009" s="4" t="str">
        <f t="shared" si="4"/>
        <v/>
      </c>
      <c r="G1009" s="5"/>
      <c r="H1009" s="5"/>
      <c r="I1009" s="8" t="str">
        <f t="shared" si="7"/>
        <v/>
      </c>
      <c r="J1009" s="8" t="str">
        <f t="shared" si="8"/>
        <v/>
      </c>
      <c r="K1009" s="8" t="str">
        <f t="shared" si="3"/>
        <v/>
      </c>
    </row>
    <row r="1010">
      <c r="A1010" s="2"/>
      <c r="B1010" s="3"/>
      <c r="C1010" s="5"/>
      <c r="D1010" s="5"/>
      <c r="E1010" s="6"/>
      <c r="F1010" s="4" t="str">
        <f t="shared" si="4"/>
        <v/>
      </c>
      <c r="G1010" s="5"/>
      <c r="H1010" s="5"/>
      <c r="I1010" s="8" t="str">
        <f t="shared" si="7"/>
        <v/>
      </c>
      <c r="J1010" s="8" t="str">
        <f t="shared" si="8"/>
        <v/>
      </c>
      <c r="K1010" s="8" t="str">
        <f t="shared" si="3"/>
        <v/>
      </c>
    </row>
    <row r="1011">
      <c r="A1011" s="2"/>
      <c r="B1011" s="3"/>
      <c r="C1011" s="5"/>
      <c r="D1011" s="5"/>
      <c r="E1011" s="6"/>
      <c r="F1011" s="4" t="str">
        <f t="shared" si="4"/>
        <v/>
      </c>
      <c r="G1011" s="5"/>
      <c r="H1011" s="5"/>
      <c r="I1011" s="8" t="str">
        <f t="shared" si="7"/>
        <v/>
      </c>
      <c r="J1011" s="8" t="str">
        <f t="shared" si="8"/>
        <v/>
      </c>
      <c r="K1011" s="8" t="str">
        <f t="shared" si="3"/>
        <v/>
      </c>
    </row>
    <row r="1012">
      <c r="A1012" s="2"/>
      <c r="B1012" s="3"/>
      <c r="C1012" s="5"/>
      <c r="D1012" s="5"/>
      <c r="E1012" s="6"/>
      <c r="F1012" s="4" t="str">
        <f t="shared" si="4"/>
        <v/>
      </c>
      <c r="G1012" s="5"/>
      <c r="H1012" s="5"/>
      <c r="I1012" s="8" t="str">
        <f t="shared" si="7"/>
        <v/>
      </c>
      <c r="J1012" s="8" t="str">
        <f t="shared" si="8"/>
        <v/>
      </c>
      <c r="K1012" s="8" t="str">
        <f t="shared" si="3"/>
        <v/>
      </c>
    </row>
    <row r="1013">
      <c r="A1013" s="2"/>
      <c r="B1013" s="3"/>
      <c r="C1013" s="5"/>
      <c r="D1013" s="5"/>
      <c r="E1013" s="6"/>
      <c r="F1013" s="4" t="str">
        <f t="shared" si="4"/>
        <v/>
      </c>
      <c r="G1013" s="5"/>
      <c r="H1013" s="5"/>
      <c r="I1013" s="8" t="str">
        <f t="shared" si="7"/>
        <v/>
      </c>
      <c r="J1013" s="8" t="str">
        <f t="shared" si="8"/>
        <v/>
      </c>
      <c r="K1013" s="8" t="str">
        <f t="shared" si="3"/>
        <v/>
      </c>
    </row>
    <row r="1014">
      <c r="A1014" s="2"/>
      <c r="B1014" s="3"/>
      <c r="C1014" s="5"/>
      <c r="D1014" s="5"/>
      <c r="E1014" s="6"/>
      <c r="F1014" s="4" t="str">
        <f t="shared" si="4"/>
        <v/>
      </c>
      <c r="G1014" s="5"/>
      <c r="H1014" s="5"/>
      <c r="I1014" s="8" t="str">
        <f t="shared" si="7"/>
        <v/>
      </c>
      <c r="J1014" s="8" t="str">
        <f t="shared" si="8"/>
        <v/>
      </c>
      <c r="K1014" s="8" t="str">
        <f t="shared" si="3"/>
        <v/>
      </c>
    </row>
    <row r="1015">
      <c r="A1015" s="2"/>
      <c r="B1015" s="3"/>
      <c r="C1015" s="5"/>
      <c r="D1015" s="5"/>
      <c r="E1015" s="6"/>
      <c r="F1015" s="4" t="str">
        <f t="shared" si="4"/>
        <v/>
      </c>
      <c r="G1015" s="5"/>
      <c r="H1015" s="5"/>
      <c r="I1015" s="8" t="str">
        <f t="shared" si="7"/>
        <v/>
      </c>
      <c r="J1015" s="8" t="str">
        <f t="shared" si="8"/>
        <v/>
      </c>
      <c r="K1015" s="8" t="str">
        <f t="shared" si="3"/>
        <v/>
      </c>
    </row>
    <row r="1016">
      <c r="A1016" s="2"/>
      <c r="B1016" s="3"/>
      <c r="C1016" s="5"/>
      <c r="D1016" s="5"/>
      <c r="E1016" s="6"/>
      <c r="F1016" s="4" t="str">
        <f t="shared" si="4"/>
        <v/>
      </c>
      <c r="G1016" s="5"/>
      <c r="H1016" s="5"/>
      <c r="I1016" s="8" t="str">
        <f t="shared" si="7"/>
        <v/>
      </c>
      <c r="J1016" s="8" t="str">
        <f t="shared" si="8"/>
        <v/>
      </c>
      <c r="K1016" s="8" t="str">
        <f t="shared" si="3"/>
        <v/>
      </c>
    </row>
    <row r="1017">
      <c r="A1017" s="2"/>
      <c r="B1017" s="3"/>
      <c r="C1017" s="5"/>
      <c r="D1017" s="5"/>
      <c r="E1017" s="6"/>
      <c r="F1017" s="4" t="str">
        <f t="shared" si="4"/>
        <v/>
      </c>
      <c r="G1017" s="5"/>
      <c r="H1017" s="5"/>
      <c r="I1017" s="8" t="str">
        <f t="shared" si="7"/>
        <v/>
      </c>
      <c r="J1017" s="8" t="str">
        <f t="shared" si="8"/>
        <v/>
      </c>
      <c r="K1017" s="8" t="str">
        <f t="shared" si="3"/>
        <v/>
      </c>
    </row>
    <row r="1018">
      <c r="A1018" s="2"/>
      <c r="B1018" s="3"/>
      <c r="C1018" s="5"/>
      <c r="D1018" s="5"/>
      <c r="E1018" s="6"/>
      <c r="F1018" s="4" t="str">
        <f t="shared" si="4"/>
        <v/>
      </c>
      <c r="G1018" s="5"/>
      <c r="H1018" s="5"/>
      <c r="I1018" s="8" t="str">
        <f t="shared" si="7"/>
        <v/>
      </c>
      <c r="J1018" s="8" t="str">
        <f t="shared" si="8"/>
        <v/>
      </c>
      <c r="K1018" s="8" t="str">
        <f t="shared" si="3"/>
        <v/>
      </c>
    </row>
    <row r="1019">
      <c r="A1019" s="2"/>
      <c r="B1019" s="3"/>
      <c r="C1019" s="5"/>
      <c r="D1019" s="5"/>
      <c r="E1019" s="6"/>
      <c r="F1019" s="4" t="str">
        <f t="shared" si="4"/>
        <v/>
      </c>
      <c r="G1019" s="5"/>
      <c r="H1019" s="5"/>
      <c r="I1019" s="8" t="str">
        <f t="shared" si="7"/>
        <v/>
      </c>
      <c r="J1019" s="8" t="str">
        <f t="shared" si="8"/>
        <v/>
      </c>
      <c r="K1019" s="8" t="str">
        <f t="shared" si="3"/>
        <v/>
      </c>
    </row>
    <row r="1020">
      <c r="A1020" s="2"/>
      <c r="B1020" s="3"/>
      <c r="C1020" s="5"/>
      <c r="D1020" s="5"/>
      <c r="E1020" s="6"/>
      <c r="F1020" s="4" t="str">
        <f t="shared" si="4"/>
        <v/>
      </c>
      <c r="G1020" s="5"/>
      <c r="H1020" s="5"/>
      <c r="I1020" s="8" t="str">
        <f t="shared" si="7"/>
        <v/>
      </c>
      <c r="J1020" s="8" t="str">
        <f t="shared" si="8"/>
        <v/>
      </c>
      <c r="K1020" s="8" t="str">
        <f t="shared" si="3"/>
        <v/>
      </c>
    </row>
    <row r="1021">
      <c r="A1021" s="2"/>
      <c r="B1021" s="3"/>
      <c r="C1021" s="5"/>
      <c r="D1021" s="5"/>
      <c r="E1021" s="6"/>
      <c r="F1021" s="4" t="str">
        <f t="shared" si="4"/>
        <v/>
      </c>
      <c r="G1021" s="5"/>
      <c r="H1021" s="5"/>
      <c r="I1021" s="8" t="str">
        <f t="shared" si="7"/>
        <v/>
      </c>
      <c r="J1021" s="8" t="str">
        <f t="shared" si="8"/>
        <v/>
      </c>
      <c r="K1021" s="8" t="str">
        <f t="shared" si="3"/>
        <v/>
      </c>
    </row>
    <row r="1022">
      <c r="A1022" s="2"/>
      <c r="B1022" s="3"/>
      <c r="C1022" s="5"/>
      <c r="D1022" s="5"/>
      <c r="E1022" s="6"/>
      <c r="F1022" s="4" t="str">
        <f t="shared" si="4"/>
        <v/>
      </c>
      <c r="G1022" s="5"/>
      <c r="H1022" s="5"/>
      <c r="I1022" s="8" t="str">
        <f t="shared" si="7"/>
        <v/>
      </c>
      <c r="J1022" s="8" t="str">
        <f t="shared" si="8"/>
        <v/>
      </c>
      <c r="K1022" s="8" t="str">
        <f t="shared" si="3"/>
        <v/>
      </c>
    </row>
    <row r="1023">
      <c r="A1023" s="2"/>
      <c r="B1023" s="3"/>
      <c r="C1023" s="5"/>
      <c r="D1023" s="5"/>
      <c r="E1023" s="6"/>
      <c r="F1023" s="4" t="str">
        <f t="shared" si="4"/>
        <v/>
      </c>
      <c r="G1023" s="5"/>
      <c r="H1023" s="5"/>
      <c r="I1023" s="8" t="str">
        <f t="shared" si="7"/>
        <v/>
      </c>
      <c r="J1023" s="8" t="str">
        <f t="shared" si="8"/>
        <v/>
      </c>
      <c r="K1023" s="8" t="str">
        <f t="shared" si="3"/>
        <v/>
      </c>
    </row>
    <row r="1024">
      <c r="A1024" s="2"/>
      <c r="B1024" s="3"/>
      <c r="C1024" s="5"/>
      <c r="D1024" s="5"/>
      <c r="E1024" s="6"/>
      <c r="F1024" s="4" t="str">
        <f t="shared" si="4"/>
        <v/>
      </c>
      <c r="G1024" s="5"/>
      <c r="H1024" s="5"/>
      <c r="I1024" s="8" t="str">
        <f t="shared" si="7"/>
        <v/>
      </c>
      <c r="J1024" s="8" t="str">
        <f t="shared" si="8"/>
        <v/>
      </c>
      <c r="K1024" s="8" t="str">
        <f t="shared" si="3"/>
        <v/>
      </c>
    </row>
    <row r="1025">
      <c r="A1025" s="2"/>
      <c r="B1025" s="3"/>
      <c r="C1025" s="5"/>
      <c r="D1025" s="5"/>
      <c r="E1025" s="6"/>
      <c r="F1025" s="4" t="str">
        <f t="shared" si="4"/>
        <v/>
      </c>
      <c r="G1025" s="5"/>
      <c r="H1025" s="5"/>
      <c r="I1025" s="8" t="str">
        <f t="shared" si="7"/>
        <v/>
      </c>
      <c r="J1025" s="8" t="str">
        <f t="shared" si="8"/>
        <v/>
      </c>
      <c r="K1025" s="8" t="str">
        <f t="shared" si="3"/>
        <v/>
      </c>
    </row>
    <row r="1026">
      <c r="A1026" s="2"/>
      <c r="B1026" s="3"/>
      <c r="C1026" s="5"/>
      <c r="D1026" s="5"/>
      <c r="E1026" s="6"/>
      <c r="F1026" s="4" t="str">
        <f t="shared" si="4"/>
        <v/>
      </c>
      <c r="G1026" s="5"/>
      <c r="H1026" s="5"/>
      <c r="I1026" s="8" t="str">
        <f t="shared" si="7"/>
        <v/>
      </c>
      <c r="J1026" s="8" t="str">
        <f t="shared" si="8"/>
        <v/>
      </c>
      <c r="K1026" s="8" t="str">
        <f t="shared" si="3"/>
        <v/>
      </c>
    </row>
    <row r="1027">
      <c r="A1027" s="2"/>
      <c r="B1027" s="3"/>
      <c r="C1027" s="5"/>
      <c r="D1027" s="5"/>
      <c r="E1027" s="6"/>
      <c r="F1027" s="4" t="str">
        <f t="shared" si="4"/>
        <v/>
      </c>
      <c r="G1027" s="5"/>
      <c r="H1027" s="5"/>
      <c r="I1027" s="8" t="str">
        <f t="shared" si="7"/>
        <v/>
      </c>
      <c r="J1027" s="8" t="str">
        <f t="shared" si="8"/>
        <v/>
      </c>
      <c r="K1027" s="8" t="str">
        <f t="shared" si="3"/>
        <v/>
      </c>
    </row>
    <row r="1028">
      <c r="A1028" s="2"/>
      <c r="B1028" s="3"/>
      <c r="C1028" s="5"/>
      <c r="D1028" s="5"/>
      <c r="E1028" s="6"/>
      <c r="F1028" s="4" t="str">
        <f t="shared" si="4"/>
        <v/>
      </c>
      <c r="G1028" s="5"/>
      <c r="H1028" s="5"/>
      <c r="I1028" s="8" t="str">
        <f t="shared" si="7"/>
        <v/>
      </c>
      <c r="J1028" s="8" t="str">
        <f t="shared" si="8"/>
        <v/>
      </c>
      <c r="K1028" s="8" t="str">
        <f t="shared" si="3"/>
        <v/>
      </c>
    </row>
    <row r="1029">
      <c r="A1029" s="2"/>
      <c r="B1029" s="3"/>
      <c r="C1029" s="5"/>
      <c r="D1029" s="5"/>
      <c r="E1029" s="6"/>
      <c r="F1029" s="4" t="str">
        <f t="shared" si="4"/>
        <v/>
      </c>
      <c r="G1029" s="5"/>
      <c r="H1029" s="5"/>
      <c r="I1029" s="8" t="str">
        <f t="shared" si="7"/>
        <v/>
      </c>
      <c r="J1029" s="8" t="str">
        <f t="shared" si="8"/>
        <v/>
      </c>
      <c r="K1029" s="8" t="str">
        <f t="shared" si="3"/>
        <v/>
      </c>
    </row>
    <row r="1030">
      <c r="A1030" s="2"/>
      <c r="B1030" s="3"/>
      <c r="C1030" s="5"/>
      <c r="D1030" s="5"/>
      <c r="E1030" s="6"/>
      <c r="F1030" s="4" t="str">
        <f t="shared" si="4"/>
        <v/>
      </c>
      <c r="G1030" s="5"/>
      <c r="H1030" s="5"/>
      <c r="I1030" s="8" t="str">
        <f t="shared" si="7"/>
        <v/>
      </c>
      <c r="J1030" s="8" t="str">
        <f t="shared" si="8"/>
        <v/>
      </c>
      <c r="K1030" s="8" t="str">
        <f t="shared" si="3"/>
        <v/>
      </c>
    </row>
    <row r="1031">
      <c r="A1031" s="2"/>
      <c r="B1031" s="3"/>
      <c r="C1031" s="5"/>
      <c r="D1031" s="5"/>
      <c r="E1031" s="6"/>
      <c r="F1031" s="4" t="str">
        <f t="shared" si="4"/>
        <v/>
      </c>
      <c r="G1031" s="5"/>
      <c r="H1031" s="5"/>
      <c r="I1031" s="8" t="str">
        <f t="shared" si="7"/>
        <v/>
      </c>
      <c r="J1031" s="8" t="str">
        <f t="shared" si="8"/>
        <v/>
      </c>
      <c r="K1031" s="8" t="str">
        <f t="shared" si="3"/>
        <v/>
      </c>
    </row>
    <row r="1032">
      <c r="A1032" s="2"/>
      <c r="B1032" s="3"/>
      <c r="C1032" s="5"/>
      <c r="D1032" s="5"/>
      <c r="E1032" s="6"/>
      <c r="F1032" s="4" t="str">
        <f t="shared" si="4"/>
        <v/>
      </c>
      <c r="G1032" s="5"/>
      <c r="H1032" s="5"/>
      <c r="I1032" s="8" t="str">
        <f t="shared" si="7"/>
        <v/>
      </c>
      <c r="J1032" s="8" t="str">
        <f t="shared" si="8"/>
        <v/>
      </c>
      <c r="K1032" s="8" t="str">
        <f t="shared" si="3"/>
        <v/>
      </c>
    </row>
  </sheetData>
  <autoFilter ref="$A$1:$H$1032"/>
  <conditionalFormatting sqref="E2:E1032">
    <cfRule type="cellIs" dxfId="0" priority="1" operator="lessThan">
      <formula>0</formula>
    </cfRule>
  </conditionalFormatting>
  <conditionalFormatting sqref="E2:E1032 G765 G796">
    <cfRule type="cellIs" dxfId="1" priority="2" operator="greaterThan">
      <formula>0</formula>
    </cfRule>
  </conditionalFormatting>
  <dataValidations>
    <dataValidation type="list" allowBlank="1" showErrorMessage="1" sqref="C2:C1023">
      <formula1>'Chart Table'!$D$1:$U$1</formula1>
    </dataValidation>
    <dataValidation type="list" allowBlank="1" showErrorMessage="1" sqref="D2:D1032">
      <formula1>"Personal,Others,Family"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5" t="s">
        <v>7</v>
      </c>
      <c r="B1" s="5" t="s">
        <v>6</v>
      </c>
      <c r="C1" s="5" t="s">
        <v>356</v>
      </c>
      <c r="D1" s="34" t="s">
        <v>22</v>
      </c>
      <c r="E1" s="34" t="s">
        <v>31</v>
      </c>
      <c r="F1" s="34" t="s">
        <v>80</v>
      </c>
      <c r="G1" s="35" t="s">
        <v>9</v>
      </c>
      <c r="H1" s="35" t="s">
        <v>12</v>
      </c>
      <c r="I1" s="35" t="s">
        <v>38</v>
      </c>
      <c r="J1" s="36" t="s">
        <v>35</v>
      </c>
      <c r="K1" s="37" t="s">
        <v>16</v>
      </c>
      <c r="L1" s="37" t="s">
        <v>18</v>
      </c>
      <c r="M1" s="37" t="s">
        <v>49</v>
      </c>
      <c r="N1" s="37" t="s">
        <v>149</v>
      </c>
      <c r="O1" s="37" t="s">
        <v>227</v>
      </c>
      <c r="P1" s="37" t="s">
        <v>326</v>
      </c>
      <c r="Q1" s="38" t="s">
        <v>105</v>
      </c>
      <c r="R1" s="38" t="s">
        <v>24</v>
      </c>
      <c r="S1" s="38" t="s">
        <v>101</v>
      </c>
      <c r="T1" s="38" t="s">
        <v>78</v>
      </c>
      <c r="U1" s="38" t="s">
        <v>325</v>
      </c>
      <c r="V1" s="39" t="s">
        <v>357</v>
      </c>
      <c r="W1" s="39" t="s">
        <v>358</v>
      </c>
      <c r="X1" s="39" t="s">
        <v>359</v>
      </c>
      <c r="Y1" s="39" t="s">
        <v>360</v>
      </c>
    </row>
    <row r="2">
      <c r="A2" s="4">
        <f>IFERROR(__xludf.DUMMYFUNCTION("SPLIT(C2, "" - "")"),2024.0)</f>
        <v>2024</v>
      </c>
      <c r="B2" s="4">
        <f>IFERROR(__xludf.DUMMYFUNCTION("""COMPUTED_VALUE"""),8.0)</f>
        <v>8</v>
      </c>
      <c r="C2" s="4" t="str">
        <f t="array" ref="C2:C16">UNIQUE(Main!K2:K1000)</f>
        <v>2024 - 8</v>
      </c>
      <c r="D2" s="4">
        <f>SUMIFS(Main!$E$2:$E1000,Main!$I$2:$I1000, "="&amp;$B2, Main!$J$2:$J1000, "="&amp;$A2, Main!$C$2:$C1000, "="&amp;D$1)</f>
        <v>-393.91</v>
      </c>
      <c r="E2" s="4">
        <f>SUMIFS(Main!$E$2:$E1000,Main!$I$2:$I1000, "="&amp;$B2, Main!$J$2:$J1000, "="&amp;$A2, Main!$C$2:$C1000, "="&amp;E$1)</f>
        <v>-5985.39</v>
      </c>
      <c r="F2" s="4">
        <f>SUMIFS(Main!$E$2:$E1000,Main!$I$2:$I1000, "="&amp;$B2, Main!$J$2:$J1000, "="&amp;$A2, Main!$C$2:$C1000, "="&amp;F$1)</f>
        <v>-6000</v>
      </c>
      <c r="G2" s="4">
        <f>SUMIFS(Main!$E$2:$E1000,Main!$I$2:$I1000, "="&amp;$B2, Main!$J$2:$J1000, "="&amp;$A2, Main!$C$2:$C1000, "="&amp;G$1)</f>
        <v>-875</v>
      </c>
      <c r="H2" s="4">
        <f>SUMIFS(Main!$E$2:$E1000,Main!$I$2:$I1000, "="&amp;$B2, Main!$J$2:$J1000, "="&amp;$A2, Main!$C$2:$C1000, "="&amp;H$1)</f>
        <v>-1500</v>
      </c>
      <c r="I2" s="4">
        <f>SUMIFS(Main!$E$2:$E1000,Main!$I$2:$I1000, "="&amp;$B2, Main!$J$2:$J1000, "="&amp;$A2, Main!$C$2:$C1000, "="&amp;I$1)</f>
        <v>-10696</v>
      </c>
      <c r="J2" s="4">
        <f>SUMIFS(Main!$E$2:$E1000,Main!$I$2:$I1000, "="&amp;$B2, Main!$J$2:$J1000, "="&amp;$A2, Main!$C$2:$C1000, "="&amp;J$1)</f>
        <v>-45000</v>
      </c>
      <c r="K2" s="4">
        <f>SUMIFS(Main!$E$2:$E1000,Main!$I$2:$I1000, "="&amp;$B2, Main!$J$2:$J1000, "="&amp;$A2, Main!$C$2:$C1000, "="&amp;K$1)</f>
        <v>-46605</v>
      </c>
      <c r="L2" s="4">
        <f>SUMIFS(Main!$E$2:$E1000,Main!$I$2:$I1000, "="&amp;$B2, Main!$J$2:$J1000, "="&amp;$A2, Main!$C$2:$C1000, "="&amp;L$1)</f>
        <v>-27257.21</v>
      </c>
      <c r="M2" s="4">
        <f>SUMIFS(Main!$E$2:$E1000,Main!$I$2:$I1000, "="&amp;$B2, Main!$J$2:$J1000, "="&amp;$A2, Main!$C$2:$C1000, "="&amp;M$1)</f>
        <v>-3351.46</v>
      </c>
      <c r="N2" s="4">
        <f>SUMIFS(Main!$E$2:$E1000,Main!$I$2:$I1000, "="&amp;$B2, Main!$J$2:$J1000, "="&amp;$A2, Main!$C$2:$C1000, "="&amp;N$1)</f>
        <v>0</v>
      </c>
      <c r="O2" s="4">
        <f>SUMIFS(Main!$E$2:$E1000,Main!$I$2:$I1000, "="&amp;$B2, Main!$J$2:$J1000, "="&amp;$A2, Main!$C$2:$C1000, "="&amp;O$1)</f>
        <v>0</v>
      </c>
      <c r="P2" s="4">
        <f>SUMIFS(Main!$E$2:$E1000,Main!$I$2:$I1000, "="&amp;$B2, Main!$J$2:$J1000, "="&amp;$A2, Main!$C$2:$C1000, "="&amp;P$1)</f>
        <v>0</v>
      </c>
      <c r="Q2" s="4">
        <f>SUMIFS(Main!$E$2:$E1000,Main!$I$2:$I1000, "="&amp;$B2, Main!$J$2:$J1000, "="&amp;$A2, Main!$C$2:$C1000, "="&amp;Q$1)</f>
        <v>0</v>
      </c>
      <c r="R2" s="4">
        <f>SUMIFS(Main!$E$2:$E1000,Main!$I$2:$I1000, "="&amp;$B2, Main!$J$2:$J1000, "="&amp;$A2, Main!$C$2:$C1000, "="&amp;R$1)</f>
        <v>34371</v>
      </c>
      <c r="S2" s="4">
        <f>SUMIFS(Main!$E$2:$E1000,Main!$I$2:$I1000, "="&amp;$B2, Main!$J$2:$J1000, "="&amp;$A2, Main!$C$2:$C1000, "="&amp;S$1)</f>
        <v>0</v>
      </c>
      <c r="T2" s="4">
        <f>SUMIFS(Main!$E$2:$E1000,Main!$I$2:$I1000, "="&amp;$B2, Main!$J$2:$J1000, "="&amp;$A2, Main!$C$2:$C1000, "="&amp;T$1)</f>
        <v>52130</v>
      </c>
      <c r="U2" s="4">
        <f>SUMIFS(Main!$E$2:$E1000,Main!$I$2:$I1000, "="&amp;$B2, Main!$J$2:$J1000, "="&amp;$A2, Main!$C$2:$C1000, "="&amp;U$1)</f>
        <v>0</v>
      </c>
      <c r="V2" s="40">
        <f>101276.91</f>
        <v>101276.91</v>
      </c>
      <c r="W2" s="41">
        <f t="shared" ref="W2:W15" si="1">SUMIF($B2:$U2, "&lt;0")</f>
        <v>-147663.97</v>
      </c>
      <c r="X2" s="41">
        <f t="shared" ref="X2:X15" si="2">SUMIF($B2:$U2, "&gt;0")</f>
        <v>86509</v>
      </c>
      <c r="Y2" s="41">
        <f t="shared" ref="Y2:Y15" si="3">V2+W2+X2</f>
        <v>40121.94</v>
      </c>
    </row>
    <row r="3">
      <c r="A3" s="4">
        <f>IFERROR(__xludf.DUMMYFUNCTION("SPLIT(C3, "" - "")"),2024.0)</f>
        <v>2024</v>
      </c>
      <c r="B3" s="4">
        <f>IFERROR(__xludf.DUMMYFUNCTION("""COMPUTED_VALUE"""),9.0)</f>
        <v>9</v>
      </c>
      <c r="C3" s="4" t="s">
        <v>361</v>
      </c>
      <c r="D3" s="4">
        <f>SUMIFS(Main!$E$2:$E1000,Main!$I$2:$I1000, "="&amp;$B3, Main!$J$2:$J1000, "="&amp;$A3, Main!$C$2:$C1000, "="&amp;D$1)</f>
        <v>-1879.7</v>
      </c>
      <c r="E3" s="4">
        <f>SUMIFS(Main!$E$2:$E1000,Main!$I$2:$I1000, "="&amp;$B3, Main!$J$2:$J1000, "="&amp;$A3, Main!$C$2:$C1000, "="&amp;E$1)</f>
        <v>-1142.17</v>
      </c>
      <c r="F3" s="4">
        <f>SUMIFS(Main!$E$2:$E1000,Main!$I$2:$I1000, "="&amp;$B3, Main!$J$2:$J1000, "="&amp;$A3, Main!$C$2:$C1000, "="&amp;F$1)</f>
        <v>-2000</v>
      </c>
      <c r="G3" s="4">
        <f>SUMIFS(Main!$E$2:$E1000,Main!$I$2:$I1000, "="&amp;$B3, Main!$J$2:$J1000, "="&amp;$A3, Main!$C$2:$C1000, "="&amp;G$1)</f>
        <v>-1481</v>
      </c>
      <c r="H3" s="4">
        <f>SUMIFS(Main!$E$2:$E1000,Main!$I$2:$I1000, "="&amp;$B3, Main!$J$2:$J1000, "="&amp;$A3, Main!$C$2:$C1000, "="&amp;H$1)</f>
        <v>0</v>
      </c>
      <c r="I3" s="4">
        <f>SUMIFS(Main!$E$2:$E1000,Main!$I$2:$I1000, "="&amp;$B3, Main!$J$2:$J1000, "="&amp;$A3, Main!$C$2:$C1000, "="&amp;I$1)</f>
        <v>-1141.6</v>
      </c>
      <c r="J3" s="4">
        <f>SUMIFS(Main!$E$2:$E1000,Main!$I$2:$I1000, "="&amp;$B3, Main!$J$2:$J1000, "="&amp;$A3, Main!$C$2:$C1000, "="&amp;J$1)</f>
        <v>-100000</v>
      </c>
      <c r="K3" s="4">
        <f>SUMIFS(Main!$E$2:$E1000,Main!$I$2:$I1000, "="&amp;$B3, Main!$J$2:$J1000, "="&amp;$A3, Main!$C$2:$C1000, "="&amp;K$1)</f>
        <v>-3508</v>
      </c>
      <c r="L3" s="4">
        <f>SUMIFS(Main!$E$2:$E1000,Main!$I$2:$I1000, "="&amp;$B3, Main!$J$2:$J1000, "="&amp;$A3, Main!$C$2:$C1000, "="&amp;L$1)</f>
        <v>-10982.67</v>
      </c>
      <c r="M3" s="4">
        <f>SUMIFS(Main!$E$2:$E1000,Main!$I$2:$I1000, "="&amp;$B3, Main!$J$2:$J1000, "="&amp;$A3, Main!$C$2:$C1000, "="&amp;M$1)</f>
        <v>-2674.29</v>
      </c>
      <c r="N3" s="4">
        <f>SUMIFS(Main!$E$2:$E1000,Main!$I$2:$I1000, "="&amp;$B3, Main!$J$2:$J1000, "="&amp;$A3, Main!$C$2:$C1000, "="&amp;N$1)</f>
        <v>0</v>
      </c>
      <c r="O3" s="4">
        <f>SUMIFS(Main!$E$2:$E1000,Main!$I$2:$I1000, "="&amp;$B3, Main!$J$2:$J1000, "="&amp;$A3, Main!$C$2:$C1000, "="&amp;O$1)</f>
        <v>0</v>
      </c>
      <c r="P3" s="4">
        <f>SUMIFS(Main!$E$2:$E1000,Main!$I$2:$I1000, "="&amp;$B3, Main!$J$2:$J1000, "="&amp;$A3, Main!$C$2:$C1000, "="&amp;P$1)</f>
        <v>0</v>
      </c>
      <c r="Q3" s="4">
        <f>SUMIFS(Main!$E$2:$E1000,Main!$I$2:$I1000, "="&amp;$B3, Main!$J$2:$J1000, "="&amp;$A3, Main!$C$2:$C1000, "="&amp;Q$1)</f>
        <v>1500</v>
      </c>
      <c r="R3" s="4">
        <f>SUMIFS(Main!$E$2:$E1000,Main!$I$2:$I1000, "="&amp;$B3, Main!$J$2:$J1000, "="&amp;$A3, Main!$C$2:$C1000, "="&amp;R$1)</f>
        <v>4312.08</v>
      </c>
      <c r="S3" s="4">
        <f>SUMIFS(Main!$E$2:$E1000,Main!$I$2:$I1000, "="&amp;$B3, Main!$J$2:$J1000, "="&amp;$A3, Main!$C$2:$C1000, "="&amp;S$1)</f>
        <v>109733</v>
      </c>
      <c r="T3" s="4">
        <f>SUMIFS(Main!$E$2:$E1000,Main!$I$2:$I1000, "="&amp;$B3, Main!$J$2:$J1000, "="&amp;$A3, Main!$C$2:$C1000, "="&amp;T$1)</f>
        <v>0</v>
      </c>
      <c r="U3" s="4">
        <f>SUMIFS(Main!$E$2:$E1000,Main!$I$2:$I1000, "="&amp;$B3, Main!$J$2:$J1000, "="&amp;$A3, Main!$C$2:$C1000, "="&amp;U$1)</f>
        <v>0</v>
      </c>
      <c r="V3" s="41">
        <f t="shared" ref="V3:V15" si="4">Y2</f>
        <v>40121.94</v>
      </c>
      <c r="W3" s="41">
        <f t="shared" si="1"/>
        <v>-124809.43</v>
      </c>
      <c r="X3" s="41">
        <f t="shared" si="2"/>
        <v>115554.08</v>
      </c>
      <c r="Y3" s="41">
        <f t="shared" si="3"/>
        <v>30866.59</v>
      </c>
    </row>
    <row r="4">
      <c r="A4" s="4">
        <f>IFERROR(__xludf.DUMMYFUNCTION("SPLIT(C4, "" - "")"),2024.0)</f>
        <v>2024</v>
      </c>
      <c r="B4" s="4">
        <f>IFERROR(__xludf.DUMMYFUNCTION("""COMPUTED_VALUE"""),10.0)</f>
        <v>10</v>
      </c>
      <c r="C4" s="4" t="s">
        <v>362</v>
      </c>
      <c r="D4" s="4">
        <f>SUMIFS(Main!$E$2:$E1000,Main!$I$2:$I1000, "="&amp;$B4, Main!$J$2:$J1000, "="&amp;$A4, Main!$C$2:$C1000, "="&amp;D$1)</f>
        <v>-321.95</v>
      </c>
      <c r="E4" s="4">
        <f>SUMIFS(Main!$E$2:$E1000,Main!$I$2:$I1000, "="&amp;$B4, Main!$J$2:$J1000, "="&amp;$A4, Main!$C$2:$C1000, "="&amp;E$1)</f>
        <v>-29124</v>
      </c>
      <c r="F4" s="4">
        <f>SUMIFS(Main!$E$2:$E1000,Main!$I$2:$I1000, "="&amp;$B4, Main!$J$2:$J1000, "="&amp;$A4, Main!$C$2:$C1000, "="&amp;F$1)</f>
        <v>-2100</v>
      </c>
      <c r="G4" s="4">
        <f>SUMIFS(Main!$E$2:$E1000,Main!$I$2:$I1000, "="&amp;$B4, Main!$J$2:$J1000, "="&amp;$A4, Main!$C$2:$C1000, "="&amp;G$1)</f>
        <v>-600</v>
      </c>
      <c r="H4" s="4">
        <f>SUMIFS(Main!$E$2:$E1000,Main!$I$2:$I1000, "="&amp;$B4, Main!$J$2:$J1000, "="&amp;$A4, Main!$C$2:$C1000, "="&amp;H$1)</f>
        <v>-59</v>
      </c>
      <c r="I4" s="4">
        <f>SUMIFS(Main!$E$2:$E1000,Main!$I$2:$I1000, "="&amp;$B4, Main!$J$2:$J1000, "="&amp;$A4, Main!$C$2:$C1000, "="&amp;I$1)</f>
        <v>-16212.84</v>
      </c>
      <c r="J4" s="4">
        <f>SUMIFS(Main!$E$2:$E1000,Main!$I$2:$I1000, "="&amp;$B4, Main!$J$2:$J1000, "="&amp;$A4, Main!$C$2:$C1000, "="&amp;J$1)</f>
        <v>-25000</v>
      </c>
      <c r="K4" s="4">
        <f>SUMIFS(Main!$E$2:$E1000,Main!$I$2:$I1000, "="&amp;$B4, Main!$J$2:$J1000, "="&amp;$A4, Main!$C$2:$C1000, "="&amp;K$1)</f>
        <v>-36363.39</v>
      </c>
      <c r="L4" s="4">
        <f>SUMIFS(Main!$E$2:$E1000,Main!$I$2:$I1000, "="&amp;$B4, Main!$J$2:$J1000, "="&amp;$A4, Main!$C$2:$C1000, "="&amp;L$1)</f>
        <v>-4194.08</v>
      </c>
      <c r="M4" s="4">
        <f>SUMIFS(Main!$E$2:$E1000,Main!$I$2:$I1000, "="&amp;$B4, Main!$J$2:$J1000, "="&amp;$A4, Main!$C$2:$C1000, "="&amp;M$1)</f>
        <v>-2773.46</v>
      </c>
      <c r="N4" s="4">
        <f>SUMIFS(Main!$E$2:$E1000,Main!$I$2:$I1000, "="&amp;$B4, Main!$J$2:$J1000, "="&amp;$A4, Main!$C$2:$C1000, "="&amp;N$1)</f>
        <v>0</v>
      </c>
      <c r="O4" s="4">
        <f>SUMIFS(Main!$E$2:$E1000,Main!$I$2:$I1000, "="&amp;$B4, Main!$J$2:$J1000, "="&amp;$A4, Main!$C$2:$C1000, "="&amp;O$1)</f>
        <v>0</v>
      </c>
      <c r="P4" s="4">
        <f>SUMIFS(Main!$E$2:$E1000,Main!$I$2:$I1000, "="&amp;$B4, Main!$J$2:$J1000, "="&amp;$A4, Main!$C$2:$C1000, "="&amp;P$1)</f>
        <v>0</v>
      </c>
      <c r="Q4" s="4">
        <f>SUMIFS(Main!$E$2:$E1000,Main!$I$2:$I1000, "="&amp;$B4, Main!$J$2:$J1000, "="&amp;$A4, Main!$C$2:$C1000, "="&amp;Q$1)</f>
        <v>60</v>
      </c>
      <c r="R4" s="4">
        <f>SUMIFS(Main!$E$2:$E1000,Main!$I$2:$I1000, "="&amp;$B4, Main!$J$2:$J1000, "="&amp;$A4, Main!$C$2:$C1000, "="&amp;R$1)</f>
        <v>6412.53</v>
      </c>
      <c r="S4" s="4">
        <f>SUMIFS(Main!$E$2:$E1000,Main!$I$2:$I1000, "="&amp;$B4, Main!$J$2:$J1000, "="&amp;$A4, Main!$C$2:$C1000, "="&amp;S$1)</f>
        <v>79533</v>
      </c>
      <c r="T4" s="4">
        <f>SUMIFS(Main!$E$2:$E1000,Main!$I$2:$I1000, "="&amp;$B4, Main!$J$2:$J1000, "="&amp;$A4, Main!$C$2:$C1000, "="&amp;T$1)</f>
        <v>0</v>
      </c>
      <c r="U4" s="4">
        <f>SUMIFS(Main!$E$2:$E1000,Main!$I$2:$I1000, "="&amp;$B4, Main!$J$2:$J1000, "="&amp;$A4, Main!$C$2:$C1000, "="&amp;U$1)</f>
        <v>0</v>
      </c>
      <c r="V4" s="41">
        <f t="shared" si="4"/>
        <v>30866.59</v>
      </c>
      <c r="W4" s="41">
        <f t="shared" si="1"/>
        <v>-116748.72</v>
      </c>
      <c r="X4" s="41">
        <f t="shared" si="2"/>
        <v>86015.53</v>
      </c>
      <c r="Y4" s="41">
        <f t="shared" si="3"/>
        <v>133.4</v>
      </c>
    </row>
    <row r="5">
      <c r="A5" s="4">
        <f>IFERROR(__xludf.DUMMYFUNCTION("SPLIT(C5, "" - "")"),2024.0)</f>
        <v>2024</v>
      </c>
      <c r="B5" s="4">
        <f>IFERROR(__xludf.DUMMYFUNCTION("""COMPUTED_VALUE"""),11.0)</f>
        <v>11</v>
      </c>
      <c r="C5" s="4" t="s">
        <v>363</v>
      </c>
      <c r="D5" s="4">
        <f>SUMIFS(Main!$E$2:$E1000,Main!$I$2:$I1000, "="&amp;$B5, Main!$J$2:$J1000, "="&amp;$A5, Main!$C$2:$C1000, "="&amp;D$1)</f>
        <v>0</v>
      </c>
      <c r="E5" s="4">
        <f>SUMIFS(Main!$E$2:$E1000,Main!$I$2:$I1000, "="&amp;$B5, Main!$J$2:$J1000, "="&amp;$A5, Main!$C$2:$C1000, "="&amp;E$1)</f>
        <v>-87</v>
      </c>
      <c r="F5" s="4">
        <f>SUMIFS(Main!$E$2:$E1000,Main!$I$2:$I1000, "="&amp;$B5, Main!$J$2:$J1000, "="&amp;$A5, Main!$C$2:$C1000, "="&amp;F$1)</f>
        <v>-2100</v>
      </c>
      <c r="G5" s="4">
        <f>SUMIFS(Main!$E$2:$E1000,Main!$I$2:$I1000, "="&amp;$B5, Main!$J$2:$J1000, "="&amp;$A5, Main!$C$2:$C1000, "="&amp;G$1)</f>
        <v>-1527</v>
      </c>
      <c r="H5" s="4">
        <f>SUMIFS(Main!$E$2:$E1000,Main!$I$2:$I1000, "="&amp;$B5, Main!$J$2:$J1000, "="&amp;$A5, Main!$C$2:$C1000, "="&amp;H$1)</f>
        <v>-11059</v>
      </c>
      <c r="I5" s="4">
        <f>SUMIFS(Main!$E$2:$E1000,Main!$I$2:$I1000, "="&amp;$B5, Main!$J$2:$J1000, "="&amp;$A5, Main!$C$2:$C1000, "="&amp;I$1)</f>
        <v>-31609</v>
      </c>
      <c r="J5" s="4">
        <f>SUMIFS(Main!$E$2:$E1000,Main!$I$2:$I1000, "="&amp;$B5, Main!$J$2:$J1000, "="&amp;$A5, Main!$C$2:$C1000, "="&amp;J$1)</f>
        <v>-14000</v>
      </c>
      <c r="K5" s="4">
        <f>SUMIFS(Main!$E$2:$E1000,Main!$I$2:$I1000, "="&amp;$B5, Main!$J$2:$J1000, "="&amp;$A5, Main!$C$2:$C1000, "="&amp;K$1)</f>
        <v>-12806.64</v>
      </c>
      <c r="L5" s="4">
        <f>SUMIFS(Main!$E$2:$E1000,Main!$I$2:$I1000, "="&amp;$B5, Main!$J$2:$J1000, "="&amp;$A5, Main!$C$2:$C1000, "="&amp;L$1)</f>
        <v>-451.2</v>
      </c>
      <c r="M5" s="4">
        <f>SUMIFS(Main!$E$2:$E1000,Main!$I$2:$I1000, "="&amp;$B5, Main!$J$2:$J1000, "="&amp;$A5, Main!$C$2:$C1000, "="&amp;M$1)</f>
        <v>-2773.46</v>
      </c>
      <c r="N5" s="4">
        <f>SUMIFS(Main!$E$2:$E1000,Main!$I$2:$I1000, "="&amp;$B5, Main!$J$2:$J1000, "="&amp;$A5, Main!$C$2:$C1000, "="&amp;N$1)</f>
        <v>-2899</v>
      </c>
      <c r="O5" s="4">
        <f>SUMIFS(Main!$E$2:$E1000,Main!$I$2:$I1000, "="&amp;$B5, Main!$J$2:$J1000, "="&amp;$A5, Main!$C$2:$C1000, "="&amp;O$1)</f>
        <v>0</v>
      </c>
      <c r="P5" s="4">
        <f>SUMIFS(Main!$E$2:$E1000,Main!$I$2:$I1000, "="&amp;$B5, Main!$J$2:$J1000, "="&amp;$A5, Main!$C$2:$C1000, "="&amp;P$1)</f>
        <v>0</v>
      </c>
      <c r="Q5" s="4">
        <f>SUMIFS(Main!$E$2:$E1000,Main!$I$2:$I1000, "="&amp;$B5, Main!$J$2:$J1000, "="&amp;$A5, Main!$C$2:$C1000, "="&amp;Q$1)</f>
        <v>0</v>
      </c>
      <c r="R5" s="4">
        <f>SUMIFS(Main!$E$2:$E1000,Main!$I$2:$I1000, "="&amp;$B5, Main!$J$2:$J1000, "="&amp;$A5, Main!$C$2:$C1000, "="&amp;R$1)</f>
        <v>1590</v>
      </c>
      <c r="S5" s="4">
        <f>SUMIFS(Main!$E$2:$E1000,Main!$I$2:$I1000, "="&amp;$B5, Main!$J$2:$J1000, "="&amp;$A5, Main!$C$2:$C1000, "="&amp;S$1)</f>
        <v>79533</v>
      </c>
      <c r="T5" s="4">
        <f>SUMIFS(Main!$E$2:$E1000,Main!$I$2:$I1000, "="&amp;$B5, Main!$J$2:$J1000, "="&amp;$A5, Main!$C$2:$C1000, "="&amp;T$1)</f>
        <v>0</v>
      </c>
      <c r="U5" s="4">
        <f>SUMIFS(Main!$E$2:$E1000,Main!$I$2:$I1000, "="&amp;$B5, Main!$J$2:$J1000, "="&amp;$A5, Main!$C$2:$C1000, "="&amp;U$1)</f>
        <v>0</v>
      </c>
      <c r="V5" s="41">
        <f t="shared" si="4"/>
        <v>133.4</v>
      </c>
      <c r="W5" s="41">
        <f t="shared" si="1"/>
        <v>-79312.3</v>
      </c>
      <c r="X5" s="41">
        <f t="shared" si="2"/>
        <v>81134</v>
      </c>
      <c r="Y5" s="41">
        <f t="shared" si="3"/>
        <v>1955.1</v>
      </c>
    </row>
    <row r="6">
      <c r="A6" s="4">
        <f>IFERROR(__xludf.DUMMYFUNCTION("SPLIT(C6, "" - "")"),2024.0)</f>
        <v>2024</v>
      </c>
      <c r="B6" s="4">
        <f>IFERROR(__xludf.DUMMYFUNCTION("""COMPUTED_VALUE"""),12.0)</f>
        <v>12</v>
      </c>
      <c r="C6" s="4" t="s">
        <v>364</v>
      </c>
      <c r="D6" s="4">
        <f>SUMIFS(Main!$E$2:$E1000,Main!$I$2:$I1000, "="&amp;$B6, Main!$J$2:$J1000, "="&amp;$A6, Main!$C$2:$C1000, "="&amp;D$1)</f>
        <v>-300</v>
      </c>
      <c r="E6" s="4">
        <f>SUMIFS(Main!$E$2:$E1000,Main!$I$2:$I1000, "="&amp;$B6, Main!$J$2:$J1000, "="&amp;$A6, Main!$C$2:$C1000, "="&amp;E$1)</f>
        <v>-93</v>
      </c>
      <c r="F6" s="4">
        <f>SUMIFS(Main!$E$2:$E1000,Main!$I$2:$I1000, "="&amp;$B6, Main!$J$2:$J1000, "="&amp;$A6, Main!$C$2:$C1000, "="&amp;F$1)</f>
        <v>17060.19</v>
      </c>
      <c r="G6" s="4">
        <f>SUMIFS(Main!$E$2:$E1000,Main!$I$2:$I1000, "="&amp;$B6, Main!$J$2:$J1000, "="&amp;$A6, Main!$C$2:$C1000, "="&amp;G$1)</f>
        <v>-9394</v>
      </c>
      <c r="H6" s="4">
        <f>SUMIFS(Main!$E$2:$E1000,Main!$I$2:$I1000, "="&amp;$B6, Main!$J$2:$J1000, "="&amp;$A6, Main!$C$2:$C1000, "="&amp;H$1)</f>
        <v>-10000</v>
      </c>
      <c r="I6" s="4">
        <f>SUMIFS(Main!$E$2:$E1000,Main!$I$2:$I1000, "="&amp;$B6, Main!$J$2:$J1000, "="&amp;$A6, Main!$C$2:$C1000, "="&amp;I$1)</f>
        <v>-3200</v>
      </c>
      <c r="J6" s="4">
        <f>SUMIFS(Main!$E$2:$E1000,Main!$I$2:$I1000, "="&amp;$B6, Main!$J$2:$J1000, "="&amp;$A6, Main!$C$2:$C1000, "="&amp;J$1)</f>
        <v>-40000</v>
      </c>
      <c r="K6" s="4">
        <f>SUMIFS(Main!$E$2:$E1000,Main!$I$2:$I1000, "="&amp;$B6, Main!$J$2:$J1000, "="&amp;$A6, Main!$C$2:$C1000, "="&amp;K$1)</f>
        <v>-32963.05</v>
      </c>
      <c r="L6" s="4">
        <f>SUMIFS(Main!$E$2:$E1000,Main!$I$2:$I1000, "="&amp;$B6, Main!$J$2:$J1000, "="&amp;$A6, Main!$C$2:$C1000, "="&amp;L$1)</f>
        <v>-5937</v>
      </c>
      <c r="M6" s="4">
        <f>SUMIFS(Main!$E$2:$E1000,Main!$I$2:$I1000, "="&amp;$B6, Main!$J$2:$J1000, "="&amp;$A6, Main!$C$2:$C1000, "="&amp;M$1)</f>
        <v>-3086.46</v>
      </c>
      <c r="N6" s="4">
        <f>SUMIFS(Main!$E$2:$E1000,Main!$I$2:$I1000, "="&amp;$B6, Main!$J$2:$J1000, "="&amp;$A6, Main!$C$2:$C1000, "="&amp;N$1)</f>
        <v>-1199</v>
      </c>
      <c r="O6" s="4">
        <f>SUMIFS(Main!$E$2:$E1000,Main!$I$2:$I1000, "="&amp;$B6, Main!$J$2:$J1000, "="&amp;$A6, Main!$C$2:$C1000, "="&amp;O$1)</f>
        <v>0</v>
      </c>
      <c r="P6" s="4">
        <f>SUMIFS(Main!$E$2:$E1000,Main!$I$2:$I1000, "="&amp;$B6, Main!$J$2:$J1000, "="&amp;$A6, Main!$C$2:$C1000, "="&amp;P$1)</f>
        <v>0</v>
      </c>
      <c r="Q6" s="4">
        <f>SUMIFS(Main!$E$2:$E1000,Main!$I$2:$I1000, "="&amp;$B6, Main!$J$2:$J1000, "="&amp;$A6, Main!$C$2:$C1000, "="&amp;Q$1)</f>
        <v>10000</v>
      </c>
      <c r="R6" s="4">
        <f>SUMIFS(Main!$E$2:$E1000,Main!$I$2:$I1000, "="&amp;$B6, Main!$J$2:$J1000, "="&amp;$A6, Main!$C$2:$C1000, "="&amp;R$1)</f>
        <v>16747</v>
      </c>
      <c r="S6" s="4">
        <f>SUMIFS(Main!$E$2:$E1000,Main!$I$2:$I1000, "="&amp;$B6, Main!$J$2:$J1000, "="&amp;$A6, Main!$C$2:$C1000, "="&amp;S$1)</f>
        <v>159066</v>
      </c>
      <c r="T6" s="4">
        <f>SUMIFS(Main!$E$2:$E1000,Main!$I$2:$I1000, "="&amp;$B6, Main!$J$2:$J1000, "="&amp;$A6, Main!$C$2:$C1000, "="&amp;T$1)</f>
        <v>0</v>
      </c>
      <c r="U6" s="4">
        <f>SUMIFS(Main!$E$2:$E1000,Main!$I$2:$I1000, "="&amp;$B6, Main!$J$2:$J1000, "="&amp;$A6, Main!$C$2:$C1000, "="&amp;U$1)</f>
        <v>0</v>
      </c>
      <c r="V6" s="41">
        <f t="shared" si="4"/>
        <v>1955.1</v>
      </c>
      <c r="W6" s="41">
        <f t="shared" si="1"/>
        <v>-106172.51</v>
      </c>
      <c r="X6" s="41">
        <f t="shared" si="2"/>
        <v>202885.19</v>
      </c>
      <c r="Y6" s="41">
        <f t="shared" si="3"/>
        <v>98667.78</v>
      </c>
    </row>
    <row r="7">
      <c r="A7" s="4">
        <f>IFERROR(__xludf.DUMMYFUNCTION("SPLIT(C7, "" - "")"),2025.0)</f>
        <v>2025</v>
      </c>
      <c r="B7" s="4">
        <f>IFERROR(__xludf.DUMMYFUNCTION("""COMPUTED_VALUE"""),1.0)</f>
        <v>1</v>
      </c>
      <c r="C7" s="4" t="s">
        <v>365</v>
      </c>
      <c r="D7" s="4">
        <f>SUMIFS(Main!$E$2:$E1000,Main!$I$2:$I1000, "="&amp;$B7, Main!$J$2:$J1000, "="&amp;$A7, Main!$C$2:$C1000, "="&amp;D$1)</f>
        <v>-617.99</v>
      </c>
      <c r="E7" s="4">
        <f>SUMIFS(Main!$E$2:$E1000,Main!$I$2:$I1000, "="&amp;$B7, Main!$J$2:$J1000, "="&amp;$A7, Main!$C$2:$C1000, "="&amp;E$1)</f>
        <v>-1427.85</v>
      </c>
      <c r="F7" s="4">
        <f>SUMIFS(Main!$E$2:$E1000,Main!$I$2:$I1000, "="&amp;$B7, Main!$J$2:$J1000, "="&amp;$A7, Main!$C$2:$C1000, "="&amp;F$1)</f>
        <v>0</v>
      </c>
      <c r="G7" s="4">
        <f>SUMIFS(Main!$E$2:$E1000,Main!$I$2:$I1000, "="&amp;$B7, Main!$J$2:$J1000, "="&amp;$A7, Main!$C$2:$C1000, "="&amp;G$1)</f>
        <v>-8766.66</v>
      </c>
      <c r="H7" s="4">
        <f>SUMIFS(Main!$E$2:$E1000,Main!$I$2:$I1000, "="&amp;$B7, Main!$J$2:$J1000, "="&amp;$A7, Main!$C$2:$C1000, "="&amp;H$1)</f>
        <v>0</v>
      </c>
      <c r="I7" s="4">
        <f>SUMIFS(Main!$E$2:$E1000,Main!$I$2:$I1000, "="&amp;$B7, Main!$J$2:$J1000, "="&amp;$A7, Main!$C$2:$C1000, "="&amp;I$1)</f>
        <v>-3009.4</v>
      </c>
      <c r="J7" s="4">
        <f>SUMIFS(Main!$E$2:$E1000,Main!$I$2:$I1000, "="&amp;$B7, Main!$J$2:$J1000, "="&amp;$A7, Main!$C$2:$C1000, "="&amp;J$1)</f>
        <v>-67000</v>
      </c>
      <c r="K7" s="4">
        <f>SUMIFS(Main!$E$2:$E1000,Main!$I$2:$I1000, "="&amp;$B7, Main!$J$2:$J1000, "="&amp;$A7, Main!$C$2:$C1000, "="&amp;K$1)</f>
        <v>-8317</v>
      </c>
      <c r="L7" s="4">
        <f>SUMIFS(Main!$E$2:$E1000,Main!$I$2:$I1000, "="&amp;$B7, Main!$J$2:$J1000, "="&amp;$A7, Main!$C$2:$C1000, "="&amp;L$1)</f>
        <v>-2454.35</v>
      </c>
      <c r="M7" s="4">
        <f>SUMIFS(Main!$E$2:$E1000,Main!$I$2:$I1000, "="&amp;$B7, Main!$J$2:$J1000, "="&amp;$A7, Main!$C$2:$C1000, "="&amp;M$1)</f>
        <v>-2710.46</v>
      </c>
      <c r="N7" s="4">
        <f>SUMIFS(Main!$E$2:$E1000,Main!$I$2:$I1000, "="&amp;$B7, Main!$J$2:$J1000, "="&amp;$A7, Main!$C$2:$C1000, "="&amp;N$1)</f>
        <v>0</v>
      </c>
      <c r="O7" s="4">
        <f>SUMIFS(Main!$E$2:$E1000,Main!$I$2:$I1000, "="&amp;$B7, Main!$J$2:$J1000, "="&amp;$A7, Main!$C$2:$C1000, "="&amp;O$1)</f>
        <v>0</v>
      </c>
      <c r="P7" s="4">
        <f>SUMIFS(Main!$E$2:$E1000,Main!$I$2:$I1000, "="&amp;$B7, Main!$J$2:$J1000, "="&amp;$A7, Main!$C$2:$C1000, "="&amp;P$1)</f>
        <v>0</v>
      </c>
      <c r="Q7" s="4">
        <f>SUMIFS(Main!$E$2:$E1000,Main!$I$2:$I1000, "="&amp;$B7, Main!$J$2:$J1000, "="&amp;$A7, Main!$C$2:$C1000, "="&amp;Q$1)</f>
        <v>500</v>
      </c>
      <c r="R7" s="4">
        <f>SUMIFS(Main!$E$2:$E1000,Main!$I$2:$I1000, "="&amp;$B7, Main!$J$2:$J1000, "="&amp;$A7, Main!$C$2:$C1000, "="&amp;R$1)</f>
        <v>10227</v>
      </c>
      <c r="S7" s="4">
        <f>SUMIFS(Main!$E$2:$E1000,Main!$I$2:$I1000, "="&amp;$B7, Main!$J$2:$J1000, "="&amp;$A7, Main!$C$2:$C1000, "="&amp;S$1)</f>
        <v>0</v>
      </c>
      <c r="T7" s="4">
        <f>SUMIFS(Main!$E$2:$E1000,Main!$I$2:$I1000, "="&amp;$B7, Main!$J$2:$J1000, "="&amp;$A7, Main!$C$2:$C1000, "="&amp;T$1)</f>
        <v>0</v>
      </c>
      <c r="U7" s="4">
        <f>SUMIFS(Main!$E$2:$E1000,Main!$I$2:$I1000, "="&amp;$B7, Main!$J$2:$J1000, "="&amp;$A7, Main!$C$2:$C1000, "="&amp;U$1)</f>
        <v>0</v>
      </c>
      <c r="V7" s="41">
        <f t="shared" si="4"/>
        <v>98667.78</v>
      </c>
      <c r="W7" s="41">
        <f t="shared" si="1"/>
        <v>-94303.71</v>
      </c>
      <c r="X7" s="41">
        <f t="shared" si="2"/>
        <v>10728</v>
      </c>
      <c r="Y7" s="41">
        <f t="shared" si="3"/>
        <v>15092.07</v>
      </c>
    </row>
    <row r="8">
      <c r="A8" s="4">
        <f>IFERROR(__xludf.DUMMYFUNCTION("SPLIT(C8, "" - "")"),2025.0)</f>
        <v>2025</v>
      </c>
      <c r="B8" s="4">
        <f>IFERROR(__xludf.DUMMYFUNCTION("""COMPUTED_VALUE"""),2.0)</f>
        <v>2</v>
      </c>
      <c r="C8" s="4" t="s">
        <v>366</v>
      </c>
      <c r="D8" s="4">
        <f>SUMIFS(Main!$E$2:$E1000,Main!$I$2:$I1000, "="&amp;$B8, Main!$J$2:$J1000, "="&amp;$A8, Main!$C$2:$C1000, "="&amp;D$1)</f>
        <v>-300</v>
      </c>
      <c r="E8" s="4">
        <f>SUMIFS(Main!$E$2:$E1000,Main!$I$2:$I1000, "="&amp;$B8, Main!$J$2:$J1000, "="&amp;$A8, Main!$C$2:$C1000, "="&amp;E$1)</f>
        <v>-466</v>
      </c>
      <c r="F8" s="4">
        <f>SUMIFS(Main!$E$2:$E1000,Main!$I$2:$I1000, "="&amp;$B8, Main!$J$2:$J1000, "="&amp;$A8, Main!$C$2:$C1000, "="&amp;F$1)</f>
        <v>0</v>
      </c>
      <c r="G8" s="4">
        <f>SUMIFS(Main!$E$2:$E1000,Main!$I$2:$I1000, "="&amp;$B8, Main!$J$2:$J1000, "="&amp;$A8, Main!$C$2:$C1000, "="&amp;G$1)</f>
        <v>-12456.2</v>
      </c>
      <c r="H8" s="4">
        <f>SUMIFS(Main!$E$2:$E1000,Main!$I$2:$I1000, "="&amp;$B8, Main!$J$2:$J1000, "="&amp;$A8, Main!$C$2:$C1000, "="&amp;H$1)</f>
        <v>0</v>
      </c>
      <c r="I8" s="4">
        <f>SUMIFS(Main!$E$2:$E1000,Main!$I$2:$I1000, "="&amp;$B8, Main!$J$2:$J1000, "="&amp;$A8, Main!$C$2:$C1000, "="&amp;I$1)</f>
        <v>0</v>
      </c>
      <c r="J8" s="4">
        <f>SUMIFS(Main!$E$2:$E1000,Main!$I$2:$I1000, "="&amp;$B8, Main!$J$2:$J1000, "="&amp;$A8, Main!$C$2:$C1000, "="&amp;J$1)</f>
        <v>-15000</v>
      </c>
      <c r="K8" s="4">
        <f>SUMIFS(Main!$E$2:$E1000,Main!$I$2:$I1000, "="&amp;$B8, Main!$J$2:$J1000, "="&amp;$A8, Main!$C$2:$C1000, "="&amp;K$1)</f>
        <v>-1709.78</v>
      </c>
      <c r="L8" s="4">
        <f>SUMIFS(Main!$E$2:$E1000,Main!$I$2:$I1000, "="&amp;$B8, Main!$J$2:$J1000, "="&amp;$A8, Main!$C$2:$C1000, "="&amp;L$1)</f>
        <v>-7779.08</v>
      </c>
      <c r="M8" s="4">
        <f>SUMIFS(Main!$E$2:$E1000,Main!$I$2:$I1000, "="&amp;$B8, Main!$J$2:$J1000, "="&amp;$A8, Main!$C$2:$C1000, "="&amp;M$1)</f>
        <v>-3273.46</v>
      </c>
      <c r="N8" s="4">
        <f>SUMIFS(Main!$E$2:$E1000,Main!$I$2:$I1000, "="&amp;$B8, Main!$J$2:$J1000, "="&amp;$A8, Main!$C$2:$C1000, "="&amp;N$1)</f>
        <v>0</v>
      </c>
      <c r="O8" s="4">
        <f>SUMIFS(Main!$E$2:$E1000,Main!$I$2:$I1000, "="&amp;$B8, Main!$J$2:$J1000, "="&amp;$A8, Main!$C$2:$C1000, "="&amp;O$1)</f>
        <v>0</v>
      </c>
      <c r="P8" s="4">
        <f>SUMIFS(Main!$E$2:$E1000,Main!$I$2:$I1000, "="&amp;$B8, Main!$J$2:$J1000, "="&amp;$A8, Main!$C$2:$C1000, "="&amp;P$1)</f>
        <v>0</v>
      </c>
      <c r="Q8" s="4">
        <f>SUMIFS(Main!$E$2:$E1000,Main!$I$2:$I1000, "="&amp;$B8, Main!$J$2:$J1000, "="&amp;$A8, Main!$C$2:$C1000, "="&amp;Q$1)</f>
        <v>0</v>
      </c>
      <c r="R8" s="4">
        <f>SUMIFS(Main!$E$2:$E1000,Main!$I$2:$I1000, "="&amp;$B8, Main!$J$2:$J1000, "="&amp;$A8, Main!$C$2:$C1000, "="&amp;R$1)</f>
        <v>510</v>
      </c>
      <c r="S8" s="4">
        <f>SUMIFS(Main!$E$2:$E1000,Main!$I$2:$I1000, "="&amp;$B8, Main!$J$2:$J1000, "="&amp;$A8, Main!$C$2:$C1000, "="&amp;S$1)</f>
        <v>159066</v>
      </c>
      <c r="T8" s="4">
        <f>SUMIFS(Main!$E$2:$E1000,Main!$I$2:$I1000, "="&amp;$B8, Main!$J$2:$J1000, "="&amp;$A8, Main!$C$2:$C1000, "="&amp;T$1)</f>
        <v>0</v>
      </c>
      <c r="U8" s="4">
        <f>SUMIFS(Main!$E$2:$E1000,Main!$I$2:$I1000, "="&amp;$B8, Main!$J$2:$J1000, "="&amp;$A8, Main!$C$2:$C1000, "="&amp;U$1)</f>
        <v>0</v>
      </c>
      <c r="V8" s="41">
        <f t="shared" si="4"/>
        <v>15092.07</v>
      </c>
      <c r="W8" s="41">
        <f t="shared" si="1"/>
        <v>-40984.52</v>
      </c>
      <c r="X8" s="41">
        <f t="shared" si="2"/>
        <v>159578</v>
      </c>
      <c r="Y8" s="41">
        <f t="shared" si="3"/>
        <v>133685.55</v>
      </c>
    </row>
    <row r="9">
      <c r="A9" s="4">
        <f>IFERROR(__xludf.DUMMYFUNCTION("SPLIT(C9, "" - "")"),2025.0)</f>
        <v>2025</v>
      </c>
      <c r="B9" s="4">
        <f>IFERROR(__xludf.DUMMYFUNCTION("""COMPUTED_VALUE"""),3.0)</f>
        <v>3</v>
      </c>
      <c r="C9" s="4" t="s">
        <v>367</v>
      </c>
      <c r="D9" s="4">
        <f>SUMIFS(Main!$E$2:$E1000,Main!$I$2:$I1000, "="&amp;$B9, Main!$J$2:$J1000, "="&amp;$A9, Main!$C$2:$C1000, "="&amp;D$1)</f>
        <v>0</v>
      </c>
      <c r="E9" s="4">
        <f>SUMIFS(Main!$E$2:$E1000,Main!$I$2:$I1000, "="&amp;$B9, Main!$J$2:$J1000, "="&amp;$A9, Main!$C$2:$C1000, "="&amp;E$1)</f>
        <v>-3362.32</v>
      </c>
      <c r="F9" s="4">
        <f>SUMIFS(Main!$E$2:$E1000,Main!$I$2:$I1000, "="&amp;$B9, Main!$J$2:$J1000, "="&amp;$A9, Main!$C$2:$C1000, "="&amp;F$1)</f>
        <v>0</v>
      </c>
      <c r="G9" s="4">
        <f>SUMIFS(Main!$E$2:$E1000,Main!$I$2:$I1000, "="&amp;$B9, Main!$J$2:$J1000, "="&amp;$A9, Main!$C$2:$C1000, "="&amp;G$1)</f>
        <v>-5668.82</v>
      </c>
      <c r="H9" s="4">
        <f>SUMIFS(Main!$E$2:$E1000,Main!$I$2:$I1000, "="&amp;$B9, Main!$J$2:$J1000, "="&amp;$A9, Main!$C$2:$C1000, "="&amp;H$1)</f>
        <v>-5158</v>
      </c>
      <c r="I9" s="4">
        <f>SUMIFS(Main!$E$2:$E1000,Main!$I$2:$I1000, "="&amp;$B9, Main!$J$2:$J1000, "="&amp;$A9, Main!$C$2:$C1000, "="&amp;I$1)</f>
        <v>-116.82</v>
      </c>
      <c r="J9" s="4">
        <f>SUMIFS(Main!$E$2:$E1000,Main!$I$2:$I1000, "="&amp;$B9, Main!$J$2:$J1000, "="&amp;$A9, Main!$C$2:$C1000, "="&amp;J$1)</f>
        <v>-88000</v>
      </c>
      <c r="K9" s="4">
        <f>SUMIFS(Main!$E$2:$E1000,Main!$I$2:$I1000, "="&amp;$B9, Main!$J$2:$J1000, "="&amp;$A9, Main!$C$2:$C1000, "="&amp;K$1)</f>
        <v>-7270</v>
      </c>
      <c r="L9" s="4">
        <f>SUMIFS(Main!$E$2:$E1000,Main!$I$2:$I1000, "="&amp;$B9, Main!$J$2:$J1000, "="&amp;$A9, Main!$C$2:$C1000, "="&amp;L$1)</f>
        <v>-8205.5</v>
      </c>
      <c r="M9" s="4">
        <f>SUMIFS(Main!$E$2:$E1000,Main!$I$2:$I1000, "="&amp;$B9, Main!$J$2:$J1000, "="&amp;$A9, Main!$C$2:$C1000, "="&amp;M$1)</f>
        <v>-2773.46</v>
      </c>
      <c r="N9" s="4">
        <f>SUMIFS(Main!$E$2:$E1000,Main!$I$2:$I1000, "="&amp;$B9, Main!$J$2:$J1000, "="&amp;$A9, Main!$C$2:$C1000, "="&amp;N$1)</f>
        <v>0</v>
      </c>
      <c r="O9" s="4">
        <f>SUMIFS(Main!$E$2:$E1000,Main!$I$2:$I1000, "="&amp;$B9, Main!$J$2:$J1000, "="&amp;$A9, Main!$C$2:$C1000, "="&amp;O$1)</f>
        <v>-20000</v>
      </c>
      <c r="P9" s="4">
        <f>SUMIFS(Main!$E$2:$E1000,Main!$I$2:$I1000, "="&amp;$B9, Main!$J$2:$J1000, "="&amp;$A9, Main!$C$2:$C1000, "="&amp;P$1)</f>
        <v>0</v>
      </c>
      <c r="Q9" s="4">
        <f>SUMIFS(Main!$E$2:$E1000,Main!$I$2:$I1000, "="&amp;$B9, Main!$J$2:$J1000, "="&amp;$A9, Main!$C$2:$C1000, "="&amp;Q$1)</f>
        <v>0</v>
      </c>
      <c r="R9" s="4">
        <f>SUMIFS(Main!$E$2:$E1000,Main!$I$2:$I1000, "="&amp;$B9, Main!$J$2:$J1000, "="&amp;$A9, Main!$C$2:$C1000, "="&amp;R$1)</f>
        <v>7850</v>
      </c>
      <c r="S9" s="4">
        <f>SUMIFS(Main!$E$2:$E1000,Main!$I$2:$I1000, "="&amp;$B9, Main!$J$2:$J1000, "="&amp;$A9, Main!$C$2:$C1000, "="&amp;S$1)</f>
        <v>46110</v>
      </c>
      <c r="T9" s="4">
        <f>SUMIFS(Main!$E$2:$E1000,Main!$I$2:$I1000, "="&amp;$B9, Main!$J$2:$J1000, "="&amp;$A9, Main!$C$2:$C1000, "="&amp;T$1)</f>
        <v>0</v>
      </c>
      <c r="U9" s="4">
        <f>SUMIFS(Main!$E$2:$E1000,Main!$I$2:$I1000, "="&amp;$B9, Main!$J$2:$J1000, "="&amp;$A9, Main!$C$2:$C1000, "="&amp;U$1)</f>
        <v>0</v>
      </c>
      <c r="V9" s="41">
        <f t="shared" si="4"/>
        <v>133685.55</v>
      </c>
      <c r="W9" s="41">
        <f t="shared" si="1"/>
        <v>-140554.92</v>
      </c>
      <c r="X9" s="41">
        <f t="shared" si="2"/>
        <v>53963</v>
      </c>
      <c r="Y9" s="41">
        <f t="shared" si="3"/>
        <v>47093.63</v>
      </c>
    </row>
    <row r="10">
      <c r="A10" s="4">
        <f>IFERROR(__xludf.DUMMYFUNCTION("SPLIT(C10, "" - "")"),2025.0)</f>
        <v>2025</v>
      </c>
      <c r="B10" s="4">
        <f>IFERROR(__xludf.DUMMYFUNCTION("""COMPUTED_VALUE"""),4.0)</f>
        <v>4</v>
      </c>
      <c r="C10" s="4" t="s">
        <v>368</v>
      </c>
      <c r="D10" s="4">
        <f>SUMIFS(Main!$E$2:$E1000,Main!$I$2:$I1000, "="&amp;$B10, Main!$J$2:$J1000, "="&amp;$A10, Main!$C$2:$C1000, "="&amp;D$1)</f>
        <v>0</v>
      </c>
      <c r="E10" s="4">
        <f>SUMIFS(Main!$E$2:$E1000,Main!$I$2:$I1000, "="&amp;$B10, Main!$J$2:$J1000, "="&amp;$A10, Main!$C$2:$C1000, "="&amp;E$1)</f>
        <v>-1671.35</v>
      </c>
      <c r="F10" s="4">
        <f>SUMIFS(Main!$E$2:$E1000,Main!$I$2:$I1000, "="&amp;$B10, Main!$J$2:$J1000, "="&amp;$A10, Main!$C$2:$C1000, "="&amp;F$1)</f>
        <v>0</v>
      </c>
      <c r="G10" s="4">
        <f>SUMIFS(Main!$E$2:$E1000,Main!$I$2:$I1000, "="&amp;$B10, Main!$J$2:$J1000, "="&amp;$A10, Main!$C$2:$C1000, "="&amp;G$1)</f>
        <v>-8543.46</v>
      </c>
      <c r="H10" s="4">
        <f>SUMIFS(Main!$E$2:$E1000,Main!$I$2:$I1000, "="&amp;$B10, Main!$J$2:$J1000, "="&amp;$A10, Main!$C$2:$C1000, "="&amp;H$1)</f>
        <v>0</v>
      </c>
      <c r="I10" s="4">
        <f>SUMIFS(Main!$E$2:$E1000,Main!$I$2:$I1000, "="&amp;$B10, Main!$J$2:$J1000, "="&amp;$A10, Main!$C$2:$C1000, "="&amp;I$1)</f>
        <v>-1036.26</v>
      </c>
      <c r="J10" s="4">
        <f>SUMIFS(Main!$E$2:$E1000,Main!$I$2:$I1000, "="&amp;$B10, Main!$J$2:$J1000, "="&amp;$A10, Main!$C$2:$C1000, "="&amp;J$1)</f>
        <v>20000</v>
      </c>
      <c r="K10" s="4">
        <f>SUMIFS(Main!$E$2:$E1000,Main!$I$2:$I1000, "="&amp;$B10, Main!$J$2:$J1000, "="&amp;$A10, Main!$C$2:$C1000, "="&amp;K$1)</f>
        <v>-38745.53</v>
      </c>
      <c r="L10" s="4">
        <f>SUMIFS(Main!$E$2:$E1000,Main!$I$2:$I1000, "="&amp;$B10, Main!$J$2:$J1000, "="&amp;$A10, Main!$C$2:$C1000, "="&amp;L$1)</f>
        <v>-6793.31</v>
      </c>
      <c r="M10" s="4">
        <f>SUMIFS(Main!$E$2:$E1000,Main!$I$2:$I1000, "="&amp;$B10, Main!$J$2:$J1000, "="&amp;$A10, Main!$C$2:$C1000, "="&amp;M$1)</f>
        <v>-3713.46</v>
      </c>
      <c r="N10" s="4">
        <f>SUMIFS(Main!$E$2:$E1000,Main!$I$2:$I1000, "="&amp;$B10, Main!$J$2:$J1000, "="&amp;$A10, Main!$C$2:$C1000, "="&amp;N$1)</f>
        <v>-6547</v>
      </c>
      <c r="O10" s="4">
        <f>SUMIFS(Main!$E$2:$E1000,Main!$I$2:$I1000, "="&amp;$B10, Main!$J$2:$J1000, "="&amp;$A10, Main!$C$2:$C1000, "="&amp;O$1)</f>
        <v>-60000</v>
      </c>
      <c r="P10" s="4">
        <f>SUMIFS(Main!$E$2:$E1000,Main!$I$2:$I1000, "="&amp;$B10, Main!$J$2:$J1000, "="&amp;$A10, Main!$C$2:$C1000, "="&amp;P$1)</f>
        <v>0</v>
      </c>
      <c r="Q10" s="4">
        <f>SUMIFS(Main!$E$2:$E1000,Main!$I$2:$I1000, "="&amp;$B10, Main!$J$2:$J1000, "="&amp;$A10, Main!$C$2:$C1000, "="&amp;Q$1)</f>
        <v>0</v>
      </c>
      <c r="R10" s="4">
        <f>SUMIFS(Main!$E$2:$E1000,Main!$I$2:$I1000, "="&amp;$B10, Main!$J$2:$J1000, "="&amp;$A10, Main!$C$2:$C1000, "="&amp;R$1)</f>
        <v>0</v>
      </c>
      <c r="S10" s="4">
        <f>SUMIFS(Main!$E$2:$E1000,Main!$I$2:$I1000, "="&amp;$B10, Main!$J$2:$J1000, "="&amp;$A10, Main!$C$2:$C1000, "="&amp;S$1)</f>
        <v>79533</v>
      </c>
      <c r="T10" s="4">
        <f>SUMIFS(Main!$E$2:$E1000,Main!$I$2:$I1000, "="&amp;$B10, Main!$J$2:$J1000, "="&amp;$A10, Main!$C$2:$C1000, "="&amp;T$1)</f>
        <v>0</v>
      </c>
      <c r="U10" s="4">
        <f>SUMIFS(Main!$E$2:$E1000,Main!$I$2:$I1000, "="&amp;$B10, Main!$J$2:$J1000, "="&amp;$A10, Main!$C$2:$C1000, "="&amp;U$1)</f>
        <v>0</v>
      </c>
      <c r="V10" s="41">
        <f t="shared" si="4"/>
        <v>47093.63</v>
      </c>
      <c r="W10" s="41">
        <f t="shared" si="1"/>
        <v>-127050.37</v>
      </c>
      <c r="X10" s="41">
        <f t="shared" si="2"/>
        <v>99537</v>
      </c>
      <c r="Y10" s="41">
        <f t="shared" si="3"/>
        <v>19580.26</v>
      </c>
    </row>
    <row r="11">
      <c r="A11" s="4">
        <f>IFERROR(__xludf.DUMMYFUNCTION("SPLIT(C11, "" - "")"),2025.0)</f>
        <v>2025</v>
      </c>
      <c r="B11" s="4">
        <f>IFERROR(__xludf.DUMMYFUNCTION("""COMPUTED_VALUE"""),5.0)</f>
        <v>5</v>
      </c>
      <c r="C11" s="4" t="s">
        <v>369</v>
      </c>
      <c r="D11" s="4">
        <f>SUMIFS(Main!$E$2:$E1000,Main!$I$2:$I1000, "="&amp;$B11, Main!$J$2:$J1000, "="&amp;$A11, Main!$C$2:$C1000, "="&amp;D$1)</f>
        <v>0</v>
      </c>
      <c r="E11" s="4">
        <f>SUMIFS(Main!$E$2:$E1000,Main!$I$2:$I1000, "="&amp;$B11, Main!$J$2:$J1000, "="&amp;$A11, Main!$C$2:$C1000, "="&amp;E$1)</f>
        <v>-12603.29</v>
      </c>
      <c r="F11" s="4">
        <f>SUMIFS(Main!$E$2:$E1000,Main!$I$2:$I1000, "="&amp;$B11, Main!$J$2:$J1000, "="&amp;$A11, Main!$C$2:$C1000, "="&amp;F$1)</f>
        <v>0</v>
      </c>
      <c r="G11" s="4">
        <f>SUMIFS(Main!$E$2:$E1000,Main!$I$2:$I1000, "="&amp;$B11, Main!$J$2:$J1000, "="&amp;$A11, Main!$C$2:$C1000, "="&amp;G$1)</f>
        <v>-3579.43</v>
      </c>
      <c r="H11" s="4">
        <f>SUMIFS(Main!$E$2:$E1000,Main!$I$2:$I1000, "="&amp;$B11, Main!$J$2:$J1000, "="&amp;$A11, Main!$C$2:$C1000, "="&amp;H$1)</f>
        <v>0</v>
      </c>
      <c r="I11" s="4">
        <f>SUMIFS(Main!$E$2:$E1000,Main!$I$2:$I1000, "="&amp;$B11, Main!$J$2:$J1000, "="&amp;$A11, Main!$C$2:$C1000, "="&amp;I$1)</f>
        <v>-2974.88</v>
      </c>
      <c r="J11" s="4">
        <f>SUMIFS(Main!$E$2:$E1000,Main!$I$2:$I1000, "="&amp;$B11, Main!$J$2:$J1000, "="&amp;$A11, Main!$C$2:$C1000, "="&amp;J$1)</f>
        <v>-2990</v>
      </c>
      <c r="K11" s="4">
        <f>SUMIFS(Main!$E$2:$E1000,Main!$I$2:$I1000, "="&amp;$B11, Main!$J$2:$J1000, "="&amp;$A11, Main!$C$2:$C1000, "="&amp;K$1)</f>
        <v>-43453</v>
      </c>
      <c r="L11" s="4">
        <f>SUMIFS(Main!$E$2:$E1000,Main!$I$2:$I1000, "="&amp;$B11, Main!$J$2:$J1000, "="&amp;$A11, Main!$C$2:$C1000, "="&amp;L$1)</f>
        <v>-14569.23</v>
      </c>
      <c r="M11" s="4">
        <f>SUMIFS(Main!$E$2:$E1000,Main!$I$2:$I1000, "="&amp;$B11, Main!$J$2:$J1000, "="&amp;$A11, Main!$C$2:$C1000, "="&amp;M$1)</f>
        <v>-3570.46</v>
      </c>
      <c r="N11" s="4">
        <f>SUMIFS(Main!$E$2:$E1000,Main!$I$2:$I1000, "="&amp;$B11, Main!$J$2:$J1000, "="&amp;$A11, Main!$C$2:$C1000, "="&amp;N$1)</f>
        <v>0</v>
      </c>
      <c r="O11" s="4">
        <f>SUMIFS(Main!$E$2:$E1000,Main!$I$2:$I1000, "="&amp;$B11, Main!$J$2:$J1000, "="&amp;$A11, Main!$C$2:$C1000, "="&amp;O$1)</f>
        <v>-20000</v>
      </c>
      <c r="P11" s="4">
        <f>SUMIFS(Main!$E$2:$E1000,Main!$I$2:$I1000, "="&amp;$B11, Main!$J$2:$J1000, "="&amp;$A11, Main!$C$2:$C1000, "="&amp;P$1)</f>
        <v>0</v>
      </c>
      <c r="Q11" s="4">
        <f>SUMIFS(Main!$E$2:$E1000,Main!$I$2:$I1000, "="&amp;$B11, Main!$J$2:$J1000, "="&amp;$A11, Main!$C$2:$C1000, "="&amp;Q$1)</f>
        <v>0</v>
      </c>
      <c r="R11" s="4">
        <f>SUMIFS(Main!$E$2:$E1000,Main!$I$2:$I1000, "="&amp;$B11, Main!$J$2:$J1000, "="&amp;$A11, Main!$C$2:$C1000, "="&amp;R$1)</f>
        <v>4835</v>
      </c>
      <c r="S11" s="4">
        <f>SUMIFS(Main!$E$2:$E1000,Main!$I$2:$I1000, "="&amp;$B11, Main!$J$2:$J1000, "="&amp;$A11, Main!$C$2:$C1000, "="&amp;S$1)</f>
        <v>79533</v>
      </c>
      <c r="T11" s="4">
        <f>SUMIFS(Main!$E$2:$E1000,Main!$I$2:$I1000, "="&amp;$B11, Main!$J$2:$J1000, "="&amp;$A11, Main!$C$2:$C1000, "="&amp;T$1)</f>
        <v>0</v>
      </c>
      <c r="U11" s="4">
        <f>SUMIFS(Main!$E$2:$E1000,Main!$I$2:$I1000, "="&amp;$B11, Main!$J$2:$J1000, "="&amp;$A11, Main!$C$2:$C1000, "="&amp;U$1)</f>
        <v>0</v>
      </c>
      <c r="V11" s="41">
        <f t="shared" si="4"/>
        <v>19580.26</v>
      </c>
      <c r="W11" s="41">
        <f t="shared" si="1"/>
        <v>-103740.29</v>
      </c>
      <c r="X11" s="41">
        <f t="shared" si="2"/>
        <v>84373</v>
      </c>
      <c r="Y11" s="41">
        <f t="shared" si="3"/>
        <v>212.97</v>
      </c>
    </row>
    <row r="12">
      <c r="A12" s="4">
        <f>IFERROR(__xludf.DUMMYFUNCTION("SPLIT(C12, "" - "")"),2025.0)</f>
        <v>2025</v>
      </c>
      <c r="B12" s="4">
        <f>IFERROR(__xludf.DUMMYFUNCTION("""COMPUTED_VALUE"""),6.0)</f>
        <v>6</v>
      </c>
      <c r="C12" s="4" t="s">
        <v>370</v>
      </c>
      <c r="D12" s="4">
        <f>SUMIFS(Main!$E$2:$E1000,Main!$I$2:$I1000, "="&amp;$B12, Main!$J$2:$J1000, "="&amp;$A12, Main!$C$2:$C1000, "="&amp;D$1)</f>
        <v>-300</v>
      </c>
      <c r="E12" s="4">
        <f>SUMIFS(Main!$E$2:$E1000,Main!$I$2:$I1000, "="&amp;$B12, Main!$J$2:$J1000, "="&amp;$A12, Main!$C$2:$C1000, "="&amp;E$1)</f>
        <v>-230.23</v>
      </c>
      <c r="F12" s="4">
        <f>SUMIFS(Main!$E$2:$E1000,Main!$I$2:$I1000, "="&amp;$B12, Main!$J$2:$J1000, "="&amp;$A12, Main!$C$2:$C1000, "="&amp;F$1)</f>
        <v>0</v>
      </c>
      <c r="G12" s="4">
        <f>SUMIFS(Main!$E$2:$E1000,Main!$I$2:$I1000, "="&amp;$B12, Main!$J$2:$J1000, "="&amp;$A12, Main!$C$2:$C1000, "="&amp;G$1)</f>
        <v>-23120</v>
      </c>
      <c r="H12" s="4">
        <f>SUMIFS(Main!$E$2:$E1000,Main!$I$2:$I1000, "="&amp;$B12, Main!$J$2:$J1000, "="&amp;$A12, Main!$C$2:$C1000, "="&amp;H$1)</f>
        <v>-7120</v>
      </c>
      <c r="I12" s="4">
        <f>SUMIFS(Main!$E$2:$E1000,Main!$I$2:$I1000, "="&amp;$B12, Main!$J$2:$J1000, "="&amp;$A12, Main!$C$2:$C1000, "="&amp;I$1)</f>
        <v>-1780.44</v>
      </c>
      <c r="J12" s="4">
        <f>SUMIFS(Main!$E$2:$E1000,Main!$I$2:$I1000, "="&amp;$B12, Main!$J$2:$J1000, "="&amp;$A12, Main!$C$2:$C1000, "="&amp;J$1)</f>
        <v>-30000</v>
      </c>
      <c r="K12" s="4">
        <f>SUMIFS(Main!$E$2:$E1000,Main!$I$2:$I1000, "="&amp;$B12, Main!$J$2:$J1000, "="&amp;$A12, Main!$C$2:$C1000, "="&amp;K$1)</f>
        <v>-11825.88</v>
      </c>
      <c r="L12" s="4">
        <f>SUMIFS(Main!$E$2:$E1000,Main!$I$2:$I1000, "="&amp;$B12, Main!$J$2:$J1000, "="&amp;$A12, Main!$C$2:$C1000, "="&amp;L$1)</f>
        <v>-12273.09</v>
      </c>
      <c r="M12" s="4">
        <f>SUMIFS(Main!$E$2:$E1000,Main!$I$2:$I1000, "="&amp;$B12, Main!$J$2:$J1000, "="&amp;$A12, Main!$C$2:$C1000, "="&amp;M$1)</f>
        <v>-3342.46</v>
      </c>
      <c r="N12" s="4">
        <f>SUMIFS(Main!$E$2:$E1000,Main!$I$2:$I1000, "="&amp;$B12, Main!$J$2:$J1000, "="&amp;$A12, Main!$C$2:$C1000, "="&amp;N$1)</f>
        <v>-6500</v>
      </c>
      <c r="O12" s="4">
        <f>SUMIFS(Main!$E$2:$E1000,Main!$I$2:$I1000, "="&amp;$B12, Main!$J$2:$J1000, "="&amp;$A12, Main!$C$2:$C1000, "="&amp;O$1)</f>
        <v>-20000</v>
      </c>
      <c r="P12" s="4">
        <f>SUMIFS(Main!$E$2:$E1000,Main!$I$2:$I1000, "="&amp;$B12, Main!$J$2:$J1000, "="&amp;$A12, Main!$C$2:$C1000, "="&amp;P$1)</f>
        <v>0</v>
      </c>
      <c r="Q12" s="4">
        <f>SUMIFS(Main!$E$2:$E1000,Main!$I$2:$I1000, "="&amp;$B12, Main!$J$2:$J1000, "="&amp;$A12, Main!$C$2:$C1000, "="&amp;Q$1)</f>
        <v>0</v>
      </c>
      <c r="R12" s="4">
        <f>SUMIFS(Main!$E$2:$E1000,Main!$I$2:$I1000, "="&amp;$B12, Main!$J$2:$J1000, "="&amp;$A12, Main!$C$2:$C1000, "="&amp;R$1)</f>
        <v>4011</v>
      </c>
      <c r="S12" s="4">
        <f>SUMIFS(Main!$E$2:$E1000,Main!$I$2:$I1000, "="&amp;$B12, Main!$J$2:$J1000, "="&amp;$A12, Main!$C$2:$C1000, "="&amp;S$1)</f>
        <v>129533</v>
      </c>
      <c r="T12" s="4">
        <f>SUMIFS(Main!$E$2:$E1000,Main!$I$2:$I1000, "="&amp;$B12, Main!$J$2:$J1000, "="&amp;$A12, Main!$C$2:$C1000, "="&amp;T$1)</f>
        <v>0</v>
      </c>
      <c r="U12" s="4">
        <f>SUMIFS(Main!$E$2:$E1000,Main!$I$2:$I1000, "="&amp;$B12, Main!$J$2:$J1000, "="&amp;$A12, Main!$C$2:$C1000, "="&amp;U$1)</f>
        <v>0</v>
      </c>
      <c r="V12" s="41">
        <f t="shared" si="4"/>
        <v>212.97</v>
      </c>
      <c r="W12" s="41">
        <f t="shared" si="1"/>
        <v>-116492.1</v>
      </c>
      <c r="X12" s="41">
        <f t="shared" si="2"/>
        <v>133550</v>
      </c>
      <c r="Y12" s="41">
        <f t="shared" si="3"/>
        <v>17270.87</v>
      </c>
    </row>
    <row r="13">
      <c r="A13" s="4">
        <f>IFERROR(__xludf.DUMMYFUNCTION("SPLIT(C13, "" - "")"),2025.0)</f>
        <v>2025</v>
      </c>
      <c r="B13" s="4">
        <f>IFERROR(__xludf.DUMMYFUNCTION("""COMPUTED_VALUE"""),7.0)</f>
        <v>7</v>
      </c>
      <c r="C13" s="4" t="s">
        <v>371</v>
      </c>
      <c r="D13" s="4">
        <f>SUMIFS(Main!$E$2:$E1000,Main!$I$2:$I1000, "="&amp;$B13, Main!$J$2:$J1000, "="&amp;$A13, Main!$C$2:$C1000, "="&amp;D$1)</f>
        <v>0</v>
      </c>
      <c r="E13" s="4">
        <f>SUMIFS(Main!$E$2:$E1000,Main!$I$2:$I1000, "="&amp;$B13, Main!$J$2:$J1000, "="&amp;$A13, Main!$C$2:$C1000, "="&amp;E$1)</f>
        <v>-8972</v>
      </c>
      <c r="F13" s="4">
        <f>SUMIFS(Main!$E$2:$E1000,Main!$I$2:$I1000, "="&amp;$B13, Main!$J$2:$J1000, "="&amp;$A13, Main!$C$2:$C1000, "="&amp;F$1)</f>
        <v>0</v>
      </c>
      <c r="G13" s="4">
        <f>SUMIFS(Main!$E$2:$E1000,Main!$I$2:$I1000, "="&amp;$B13, Main!$J$2:$J1000, "="&amp;$A13, Main!$C$2:$C1000, "="&amp;G$1)</f>
        <v>-3638.66</v>
      </c>
      <c r="H13" s="4">
        <f>SUMIFS(Main!$E$2:$E1000,Main!$I$2:$I1000, "="&amp;$B13, Main!$J$2:$J1000, "="&amp;$A13, Main!$C$2:$C1000, "="&amp;H$1)</f>
        <v>-7000</v>
      </c>
      <c r="I13" s="4">
        <f>SUMIFS(Main!$E$2:$E1000,Main!$I$2:$I1000, "="&amp;$B13, Main!$J$2:$J1000, "="&amp;$A13, Main!$C$2:$C1000, "="&amp;I$1)</f>
        <v>-14484.82</v>
      </c>
      <c r="J13" s="4">
        <f>SUMIFS(Main!$E$2:$E1000,Main!$I$2:$I1000, "="&amp;$B13, Main!$J$2:$J1000, "="&amp;$A13, Main!$C$2:$C1000, "="&amp;J$1)</f>
        <v>0</v>
      </c>
      <c r="K13" s="4">
        <f>SUMIFS(Main!$E$2:$E1000,Main!$I$2:$I1000, "="&amp;$B13, Main!$J$2:$J1000, "="&amp;$A13, Main!$C$2:$C1000, "="&amp;K$1)</f>
        <v>-9908</v>
      </c>
      <c r="L13" s="4">
        <f>SUMIFS(Main!$E$2:$E1000,Main!$I$2:$I1000, "="&amp;$B13, Main!$J$2:$J1000, "="&amp;$A13, Main!$C$2:$C1000, "="&amp;L$1)</f>
        <v>-23845.96</v>
      </c>
      <c r="M13" s="4">
        <f>SUMIFS(Main!$E$2:$E1000,Main!$I$2:$I1000, "="&amp;$B13, Main!$J$2:$J1000, "="&amp;$A13, Main!$C$2:$C1000, "="&amp;M$1)</f>
        <v>-2872.46</v>
      </c>
      <c r="N13" s="4">
        <f>SUMIFS(Main!$E$2:$E1000,Main!$I$2:$I1000, "="&amp;$B13, Main!$J$2:$J1000, "="&amp;$A13, Main!$C$2:$C1000, "="&amp;N$1)</f>
        <v>0</v>
      </c>
      <c r="O13" s="4">
        <f>SUMIFS(Main!$E$2:$E1000,Main!$I$2:$I1000, "="&amp;$B13, Main!$J$2:$J1000, "="&amp;$A13, Main!$C$2:$C1000, "="&amp;O$1)</f>
        <v>-20000</v>
      </c>
      <c r="P13" s="4">
        <f>SUMIFS(Main!$E$2:$E1000,Main!$I$2:$I1000, "="&amp;$B13, Main!$J$2:$J1000, "="&amp;$A13, Main!$C$2:$C1000, "="&amp;P$1)</f>
        <v>0</v>
      </c>
      <c r="Q13" s="4">
        <f>SUMIFS(Main!$E$2:$E1000,Main!$I$2:$I1000, "="&amp;$B13, Main!$J$2:$J1000, "="&amp;$A13, Main!$C$2:$C1000, "="&amp;Q$1)</f>
        <v>7000</v>
      </c>
      <c r="R13" s="4">
        <f>SUMIFS(Main!$E$2:$E1000,Main!$I$2:$I1000, "="&amp;$B13, Main!$J$2:$J1000, "="&amp;$A13, Main!$C$2:$C1000, "="&amp;R$1)</f>
        <v>9583</v>
      </c>
      <c r="S13" s="4">
        <f>SUMIFS(Main!$E$2:$E1000,Main!$I$2:$I1000, "="&amp;$B13, Main!$J$2:$J1000, "="&amp;$A13, Main!$C$2:$C1000, "="&amp;S$1)</f>
        <v>79533</v>
      </c>
      <c r="T13" s="4">
        <f>SUMIFS(Main!$E$2:$E1000,Main!$I$2:$I1000, "="&amp;$B13, Main!$J$2:$J1000, "="&amp;$A13, Main!$C$2:$C1000, "="&amp;T$1)</f>
        <v>0</v>
      </c>
      <c r="U13" s="4">
        <f>SUMIFS(Main!$E$2:$E1000,Main!$I$2:$I1000, "="&amp;$B13, Main!$J$2:$J1000, "="&amp;$A13, Main!$C$2:$C1000, "="&amp;U$1)</f>
        <v>0</v>
      </c>
      <c r="V13" s="41">
        <f t="shared" si="4"/>
        <v>17270.87</v>
      </c>
      <c r="W13" s="41">
        <f t="shared" si="1"/>
        <v>-90721.9</v>
      </c>
      <c r="X13" s="41">
        <f t="shared" si="2"/>
        <v>96123</v>
      </c>
      <c r="Y13" s="41">
        <f t="shared" si="3"/>
        <v>22671.97</v>
      </c>
    </row>
    <row r="14">
      <c r="A14" s="4">
        <f>IFERROR(__xludf.DUMMYFUNCTION("SPLIT(C14, "" - "")"),2025.0)</f>
        <v>2025</v>
      </c>
      <c r="B14" s="4">
        <f>IFERROR(__xludf.DUMMYFUNCTION("""COMPUTED_VALUE"""),8.0)</f>
        <v>8</v>
      </c>
      <c r="C14" s="4" t="s">
        <v>372</v>
      </c>
      <c r="D14" s="4">
        <f>SUMIFS(Main!$E$2:$E1000,Main!$I$2:$I1000, "="&amp;$B14, Main!$J$2:$J1000, "="&amp;$A14, Main!$C$2:$C1000, "="&amp;D$1)</f>
        <v>0</v>
      </c>
      <c r="E14" s="4">
        <f>SUMIFS(Main!$E$2:$E1000,Main!$I$2:$I1000, "="&amp;$B14, Main!$J$2:$J1000, "="&amp;$A14, Main!$C$2:$C1000, "="&amp;E$1)</f>
        <v>-2368.94</v>
      </c>
      <c r="F14" s="4">
        <f>SUMIFS(Main!$E$2:$E1000,Main!$I$2:$I1000, "="&amp;$B14, Main!$J$2:$J1000, "="&amp;$A14, Main!$C$2:$C1000, "="&amp;F$1)</f>
        <v>0</v>
      </c>
      <c r="G14" s="4">
        <f>SUMIFS(Main!$E$2:$E1000,Main!$I$2:$I1000, "="&amp;$B14, Main!$J$2:$J1000, "="&amp;$A14, Main!$C$2:$C1000, "="&amp;G$1)</f>
        <v>-2165.29</v>
      </c>
      <c r="H14" s="4">
        <f>SUMIFS(Main!$E$2:$E1000,Main!$I$2:$I1000, "="&amp;$B14, Main!$J$2:$J1000, "="&amp;$A14, Main!$C$2:$C1000, "="&amp;H$1)</f>
        <v>-17000</v>
      </c>
      <c r="I14" s="4">
        <f>SUMIFS(Main!$E$2:$E1000,Main!$I$2:$I1000, "="&amp;$B14, Main!$J$2:$J1000, "="&amp;$A14, Main!$C$2:$C1000, "="&amp;I$1)</f>
        <v>-1947</v>
      </c>
      <c r="J14" s="4">
        <f>SUMIFS(Main!$E$2:$E1000,Main!$I$2:$I1000, "="&amp;$B14, Main!$J$2:$J1000, "="&amp;$A14, Main!$C$2:$C1000, "="&amp;J$1)</f>
        <v>0</v>
      </c>
      <c r="K14" s="4">
        <f>SUMIFS(Main!$E$2:$E1000,Main!$I$2:$I1000, "="&amp;$B14, Main!$J$2:$J1000, "="&amp;$A14, Main!$C$2:$C1000, "="&amp;K$1)</f>
        <v>-17123</v>
      </c>
      <c r="L14" s="4">
        <f>SUMIFS(Main!$E$2:$E1000,Main!$I$2:$I1000, "="&amp;$B14, Main!$J$2:$J1000, "="&amp;$A14, Main!$C$2:$C1000, "="&amp;L$1)</f>
        <v>-11861.99</v>
      </c>
      <c r="M14" s="4">
        <f>SUMIFS(Main!$E$2:$E1000,Main!$I$2:$I1000, "="&amp;$B14, Main!$J$2:$J1000, "="&amp;$A14, Main!$C$2:$C1000, "="&amp;M$1)</f>
        <v>-3384.44</v>
      </c>
      <c r="N14" s="4">
        <f>SUMIFS(Main!$E$2:$E1000,Main!$I$2:$I1000, "="&amp;$B14, Main!$J$2:$J1000, "="&amp;$A14, Main!$C$2:$C1000, "="&amp;N$1)</f>
        <v>0</v>
      </c>
      <c r="O14" s="4">
        <f>SUMIFS(Main!$E$2:$E1000,Main!$I$2:$I1000, "="&amp;$B14, Main!$J$2:$J1000, "="&amp;$A14, Main!$C$2:$C1000, "="&amp;O$1)</f>
        <v>-20000</v>
      </c>
      <c r="P14" s="4">
        <f>SUMIFS(Main!$E$2:$E1000,Main!$I$2:$I1000, "="&amp;$B14, Main!$J$2:$J1000, "="&amp;$A14, Main!$C$2:$C1000, "="&amp;P$1)</f>
        <v>-5783.5</v>
      </c>
      <c r="Q14" s="4">
        <f>SUMIFS(Main!$E$2:$E1000,Main!$I$2:$I1000, "="&amp;$B14, Main!$J$2:$J1000, "="&amp;$A14, Main!$C$2:$C1000, "="&amp;Q$1)</f>
        <v>5000</v>
      </c>
      <c r="R14" s="4">
        <f>SUMIFS(Main!$E$2:$E1000,Main!$I$2:$I1000, "="&amp;$B14, Main!$J$2:$J1000, "="&amp;$A14, Main!$C$2:$C1000, "="&amp;R$1)</f>
        <v>4457</v>
      </c>
      <c r="S14" s="4">
        <f>SUMIFS(Main!$E$2:$E1000,Main!$I$2:$I1000, "="&amp;$B14, Main!$J$2:$J1000, "="&amp;$A14, Main!$C$2:$C1000, "="&amp;S$1)</f>
        <v>106696</v>
      </c>
      <c r="T14" s="4">
        <f>SUMIFS(Main!$E$2:$E1000,Main!$I$2:$I1000, "="&amp;$B14, Main!$J$2:$J1000, "="&amp;$A14, Main!$C$2:$C1000, "="&amp;T$1)</f>
        <v>0</v>
      </c>
      <c r="U14" s="4">
        <f>SUMIFS(Main!$E$2:$E1000,Main!$I$2:$I1000, "="&amp;$B14, Main!$J$2:$J1000, "="&amp;$A14, Main!$C$2:$C1000, "="&amp;U$1)</f>
        <v>7</v>
      </c>
      <c r="V14" s="41">
        <f t="shared" si="4"/>
        <v>22671.97</v>
      </c>
      <c r="W14" s="41">
        <f t="shared" si="1"/>
        <v>-81634.16</v>
      </c>
      <c r="X14" s="41">
        <f t="shared" si="2"/>
        <v>116168</v>
      </c>
      <c r="Y14" s="41">
        <f t="shared" si="3"/>
        <v>57205.81</v>
      </c>
    </row>
    <row r="15">
      <c r="A15" s="4">
        <f>IFERROR(__xludf.DUMMYFUNCTION("SPLIT(C15, "" - "")"),2025.0)</f>
        <v>2025</v>
      </c>
      <c r="B15" s="4">
        <f>IFERROR(__xludf.DUMMYFUNCTION("""COMPUTED_VALUE"""),9.0)</f>
        <v>9</v>
      </c>
      <c r="C15" s="4" t="s">
        <v>373</v>
      </c>
      <c r="D15" s="4">
        <f>SUMIFS(Main!$E$2:$E1000,Main!$I$2:$I1000, "="&amp;$B15, Main!$J$2:$J1000, "="&amp;$A15, Main!$C$2:$C1000, "="&amp;D$1)</f>
        <v>-1300</v>
      </c>
      <c r="E15" s="4">
        <f>SUMIFS(Main!$E$2:$E1000,Main!$I$2:$I1000, "="&amp;$B15, Main!$J$2:$J1000, "="&amp;$A15, Main!$C$2:$C1000, "="&amp;E$1)</f>
        <v>-12877</v>
      </c>
      <c r="F15" s="4">
        <f>SUMIFS(Main!$E$2:$E1000,Main!$I$2:$I1000, "="&amp;$B15, Main!$J$2:$J1000, "="&amp;$A15, Main!$C$2:$C1000, "="&amp;F$1)</f>
        <v>0</v>
      </c>
      <c r="G15" s="4">
        <f>SUMIFS(Main!$E$2:$E1000,Main!$I$2:$I1000, "="&amp;$B15, Main!$J$2:$J1000, "="&amp;$A15, Main!$C$2:$C1000, "="&amp;G$1)</f>
        <v>-1729.86</v>
      </c>
      <c r="H15" s="4">
        <f>SUMIFS(Main!$E$2:$E1000,Main!$I$2:$I1000, "="&amp;$B15, Main!$J$2:$J1000, "="&amp;$A15, Main!$C$2:$C1000, "="&amp;H$1)</f>
        <v>-1000</v>
      </c>
      <c r="I15" s="4">
        <f>SUMIFS(Main!$E$2:$E1000,Main!$I$2:$I1000, "="&amp;$B15, Main!$J$2:$J1000, "="&amp;$A15, Main!$C$2:$C1000, "="&amp;I$1)</f>
        <v>-11118.22</v>
      </c>
      <c r="J15" s="4">
        <f>SUMIFS(Main!$E$2:$E1000,Main!$I$2:$I1000, "="&amp;$B15, Main!$J$2:$J1000, "="&amp;$A15, Main!$C$2:$C1000, "="&amp;J$1)</f>
        <v>-25000</v>
      </c>
      <c r="K15" s="4">
        <f>SUMIFS(Main!$E$2:$E1000,Main!$I$2:$I1000, "="&amp;$B15, Main!$J$2:$J1000, "="&amp;$A15, Main!$C$2:$C1000, "="&amp;K$1)</f>
        <v>-10452.14</v>
      </c>
      <c r="L15" s="4">
        <f>SUMIFS(Main!$E$2:$E1000,Main!$I$2:$I1000, "="&amp;$B15, Main!$J$2:$J1000, "="&amp;$A15, Main!$C$2:$C1000, "="&amp;L$1)</f>
        <v>-31161.74</v>
      </c>
      <c r="M15" s="4">
        <f>SUMIFS(Main!$E$2:$E1000,Main!$I$2:$I1000, "="&amp;$B15, Main!$J$2:$J1000, "="&amp;$A15, Main!$C$2:$C1000, "="&amp;M$1)</f>
        <v>-3282.46</v>
      </c>
      <c r="N15" s="4">
        <f>SUMIFS(Main!$E$2:$E1000,Main!$I$2:$I1000, "="&amp;$B15, Main!$J$2:$J1000, "="&amp;$A15, Main!$C$2:$C1000, "="&amp;N$1)</f>
        <v>0</v>
      </c>
      <c r="O15" s="4">
        <f>SUMIFS(Main!$E$2:$E1000,Main!$I$2:$I1000, "="&amp;$B15, Main!$J$2:$J1000, "="&amp;$A15, Main!$C$2:$C1000, "="&amp;O$1)</f>
        <v>-20000</v>
      </c>
      <c r="P15" s="4">
        <f>SUMIFS(Main!$E$2:$E1000,Main!$I$2:$I1000, "="&amp;$B15, Main!$J$2:$J1000, "="&amp;$A15, Main!$C$2:$C1000, "="&amp;P$1)</f>
        <v>-786.2</v>
      </c>
      <c r="Q15" s="4">
        <f>SUMIFS(Main!$E$2:$E1000,Main!$I$2:$I1000, "="&amp;$B15, Main!$J$2:$J1000, "="&amp;$A15, Main!$C$2:$C1000, "="&amp;Q$1)</f>
        <v>0</v>
      </c>
      <c r="R15" s="4">
        <f>SUMIFS(Main!$E$2:$E1000,Main!$I$2:$I1000, "="&amp;$B15, Main!$J$2:$J1000, "="&amp;$A15, Main!$C$2:$C1000, "="&amp;R$1)</f>
        <v>17118.15</v>
      </c>
      <c r="S15" s="4">
        <f>SUMIFS(Main!$E$2:$E1000,Main!$I$2:$I1000, "="&amp;$B15, Main!$J$2:$J1000, "="&amp;$A15, Main!$C$2:$C1000, "="&amp;S$1)</f>
        <v>106696</v>
      </c>
      <c r="T15" s="4">
        <f>SUMIFS(Main!$E$2:$E1000,Main!$I$2:$I1000, "="&amp;$B15, Main!$J$2:$J1000, "="&amp;$A15, Main!$C$2:$C1000, "="&amp;T$1)</f>
        <v>0</v>
      </c>
      <c r="U15" s="4">
        <f>SUMIFS(Main!$E$2:$E1000,Main!$I$2:$I1000, "="&amp;$B15, Main!$J$2:$J1000, "="&amp;$A15, Main!$C$2:$C1000, "="&amp;U$1)</f>
        <v>0</v>
      </c>
      <c r="V15" s="41">
        <f t="shared" si="4"/>
        <v>57205.81</v>
      </c>
      <c r="W15" s="41">
        <f t="shared" si="1"/>
        <v>-118707.62</v>
      </c>
      <c r="X15" s="41">
        <f t="shared" si="2"/>
        <v>123823.15</v>
      </c>
      <c r="Y15" s="41">
        <f t="shared" si="3"/>
        <v>62321.34</v>
      </c>
    </row>
    <row r="16">
      <c r="C16" s="4" t="s">
        <v>374</v>
      </c>
      <c r="V16" s="41"/>
      <c r="W16" s="41"/>
      <c r="X16" s="41"/>
      <c r="Y16" s="41"/>
    </row>
    <row r="17">
      <c r="V17" s="41"/>
      <c r="W17" s="41"/>
      <c r="X17" s="41"/>
      <c r="Y17" s="41"/>
    </row>
    <row r="18">
      <c r="V18" s="41"/>
      <c r="W18" s="41"/>
      <c r="X18" s="41"/>
      <c r="Y18" s="41"/>
    </row>
    <row r="19">
      <c r="V19" s="41"/>
      <c r="W19" s="41"/>
      <c r="X19" s="41"/>
      <c r="Y19" s="41"/>
    </row>
    <row r="20">
      <c r="V20" s="41"/>
      <c r="W20" s="41"/>
      <c r="X20" s="41"/>
      <c r="Y20" s="41"/>
    </row>
    <row r="21">
      <c r="V21" s="41"/>
      <c r="W21" s="41"/>
      <c r="X21" s="41"/>
      <c r="Y21" s="41"/>
    </row>
    <row r="22">
      <c r="V22" s="41"/>
      <c r="W22" s="41"/>
      <c r="X22" s="41"/>
      <c r="Y22" s="41"/>
    </row>
    <row r="23">
      <c r="V23" s="41"/>
      <c r="W23" s="41"/>
      <c r="X23" s="41"/>
      <c r="Y23" s="41"/>
    </row>
    <row r="24">
      <c r="V24" s="41"/>
      <c r="W24" s="41"/>
      <c r="X24" s="41"/>
      <c r="Y24" s="41"/>
    </row>
    <row r="25">
      <c r="V25" s="41"/>
      <c r="W25" s="41"/>
      <c r="X25" s="41"/>
      <c r="Y25" s="41"/>
    </row>
    <row r="26">
      <c r="V26" s="41"/>
      <c r="W26" s="41"/>
      <c r="X26" s="41"/>
      <c r="Y26" s="41"/>
    </row>
    <row r="27">
      <c r="V27" s="41"/>
      <c r="W27" s="41"/>
      <c r="X27" s="41"/>
      <c r="Y27" s="41"/>
    </row>
    <row r="28">
      <c r="V28" s="41"/>
      <c r="W28" s="41"/>
      <c r="X28" s="41"/>
      <c r="Y28" s="41"/>
    </row>
    <row r="29">
      <c r="V29" s="41"/>
      <c r="W29" s="41"/>
      <c r="X29" s="41"/>
      <c r="Y29" s="41"/>
    </row>
    <row r="30">
      <c r="V30" s="41"/>
      <c r="W30" s="41"/>
      <c r="X30" s="41"/>
      <c r="Y30" s="41"/>
    </row>
    <row r="31">
      <c r="V31" s="41"/>
      <c r="W31" s="41"/>
      <c r="X31" s="41"/>
      <c r="Y31" s="41"/>
    </row>
    <row r="32">
      <c r="V32" s="41"/>
      <c r="W32" s="41"/>
      <c r="X32" s="41"/>
      <c r="Y32" s="41"/>
    </row>
    <row r="33">
      <c r="V33" s="41"/>
      <c r="W33" s="41"/>
      <c r="X33" s="41"/>
      <c r="Y33" s="41"/>
    </row>
    <row r="34">
      <c r="V34" s="41"/>
      <c r="W34" s="41"/>
      <c r="X34" s="41"/>
      <c r="Y34" s="41"/>
    </row>
    <row r="35">
      <c r="V35" s="41"/>
      <c r="W35" s="41"/>
      <c r="X35" s="41"/>
      <c r="Y35" s="41"/>
    </row>
    <row r="36">
      <c r="V36" s="41"/>
      <c r="W36" s="41"/>
      <c r="X36" s="41"/>
      <c r="Y36" s="41"/>
    </row>
    <row r="37">
      <c r="V37" s="41"/>
      <c r="W37" s="41"/>
      <c r="X37" s="41"/>
      <c r="Y37" s="41"/>
    </row>
    <row r="38">
      <c r="V38" s="41"/>
      <c r="W38" s="41"/>
      <c r="X38" s="41"/>
      <c r="Y38" s="41"/>
    </row>
    <row r="39">
      <c r="V39" s="41"/>
      <c r="W39" s="41"/>
      <c r="X39" s="41"/>
      <c r="Y39" s="41"/>
    </row>
    <row r="40">
      <c r="V40" s="41"/>
      <c r="W40" s="41"/>
      <c r="X40" s="41"/>
      <c r="Y40" s="41"/>
    </row>
    <row r="41">
      <c r="V41" s="41"/>
      <c r="W41" s="41"/>
      <c r="X41" s="41"/>
      <c r="Y41" s="41"/>
    </row>
    <row r="42">
      <c r="V42" s="41"/>
      <c r="W42" s="41"/>
      <c r="X42" s="41"/>
      <c r="Y42" s="41"/>
    </row>
    <row r="43">
      <c r="V43" s="41"/>
      <c r="W43" s="41"/>
      <c r="X43" s="41"/>
      <c r="Y43" s="41"/>
    </row>
    <row r="44">
      <c r="V44" s="41"/>
      <c r="W44" s="41"/>
      <c r="X44" s="41"/>
      <c r="Y44" s="41"/>
    </row>
    <row r="45">
      <c r="V45" s="41"/>
      <c r="W45" s="41"/>
      <c r="X45" s="41"/>
      <c r="Y45" s="41"/>
    </row>
    <row r="46">
      <c r="V46" s="41"/>
      <c r="W46" s="41"/>
      <c r="X46" s="41"/>
      <c r="Y46" s="41"/>
    </row>
    <row r="47">
      <c r="V47" s="41"/>
      <c r="W47" s="41"/>
      <c r="X47" s="41"/>
      <c r="Y47" s="41"/>
    </row>
    <row r="48">
      <c r="V48" s="41"/>
      <c r="W48" s="41"/>
      <c r="X48" s="41"/>
      <c r="Y48" s="41"/>
    </row>
    <row r="49">
      <c r="V49" s="41"/>
      <c r="W49" s="41"/>
      <c r="X49" s="41"/>
      <c r="Y49" s="41"/>
    </row>
    <row r="50">
      <c r="A50" s="42"/>
      <c r="V50" s="41"/>
      <c r="W50" s="41"/>
      <c r="X50" s="41"/>
      <c r="Y50" s="41"/>
    </row>
    <row r="51">
      <c r="V51" s="41"/>
      <c r="W51" s="41"/>
      <c r="X51" s="41"/>
      <c r="Y51" s="41"/>
    </row>
    <row r="52">
      <c r="V52" s="41"/>
      <c r="W52" s="41"/>
      <c r="X52" s="41"/>
      <c r="Y52" s="41"/>
    </row>
    <row r="53">
      <c r="V53" s="41"/>
      <c r="W53" s="41"/>
      <c r="X53" s="41"/>
      <c r="Y53" s="41"/>
    </row>
    <row r="54">
      <c r="V54" s="41"/>
      <c r="W54" s="41"/>
      <c r="X54" s="41"/>
      <c r="Y54" s="41"/>
    </row>
    <row r="55">
      <c r="V55" s="41"/>
      <c r="W55" s="41"/>
      <c r="X55" s="41"/>
      <c r="Y55" s="41"/>
    </row>
    <row r="56">
      <c r="V56" s="41"/>
      <c r="W56" s="41"/>
      <c r="X56" s="41"/>
      <c r="Y56" s="41"/>
    </row>
    <row r="57">
      <c r="V57" s="41"/>
      <c r="W57" s="41"/>
      <c r="X57" s="41"/>
      <c r="Y57" s="41"/>
    </row>
    <row r="58">
      <c r="V58" s="41"/>
      <c r="W58" s="41"/>
      <c r="X58" s="41"/>
      <c r="Y58" s="41"/>
    </row>
    <row r="59">
      <c r="V59" s="41"/>
      <c r="W59" s="41"/>
      <c r="X59" s="41"/>
      <c r="Y59" s="41"/>
    </row>
    <row r="60">
      <c r="V60" s="41"/>
      <c r="W60" s="41"/>
      <c r="X60" s="41"/>
      <c r="Y60" s="41"/>
    </row>
    <row r="61">
      <c r="V61" s="41"/>
      <c r="W61" s="41"/>
      <c r="X61" s="41"/>
      <c r="Y61" s="41"/>
    </row>
    <row r="62">
      <c r="V62" s="41"/>
      <c r="W62" s="41"/>
      <c r="X62" s="41"/>
      <c r="Y62" s="41"/>
    </row>
    <row r="63">
      <c r="V63" s="41"/>
      <c r="W63" s="41"/>
      <c r="X63" s="41"/>
      <c r="Y63" s="41"/>
    </row>
    <row r="64">
      <c r="V64" s="41"/>
      <c r="W64" s="41"/>
      <c r="X64" s="41"/>
      <c r="Y64" s="41"/>
    </row>
    <row r="65">
      <c r="V65" s="41"/>
      <c r="W65" s="41"/>
      <c r="X65" s="41"/>
      <c r="Y65" s="41"/>
    </row>
    <row r="66">
      <c r="V66" s="41"/>
      <c r="W66" s="41"/>
      <c r="X66" s="41"/>
      <c r="Y66" s="41"/>
    </row>
    <row r="67">
      <c r="V67" s="41"/>
      <c r="W67" s="41"/>
      <c r="X67" s="41"/>
      <c r="Y67" s="41"/>
    </row>
    <row r="68">
      <c r="V68" s="41"/>
      <c r="W68" s="41"/>
      <c r="X68" s="41"/>
      <c r="Y68" s="41"/>
    </row>
    <row r="69">
      <c r="V69" s="41"/>
      <c r="W69" s="41"/>
      <c r="X69" s="41"/>
      <c r="Y69" s="41"/>
    </row>
    <row r="70">
      <c r="V70" s="41"/>
      <c r="W70" s="41"/>
      <c r="X70" s="41"/>
      <c r="Y70" s="41"/>
    </row>
    <row r="71">
      <c r="V71" s="41"/>
      <c r="W71" s="41"/>
      <c r="X71" s="41"/>
      <c r="Y71" s="41"/>
    </row>
    <row r="72">
      <c r="V72" s="41"/>
      <c r="W72" s="41"/>
      <c r="X72" s="41"/>
      <c r="Y72" s="41"/>
    </row>
    <row r="73">
      <c r="V73" s="41"/>
      <c r="W73" s="41"/>
      <c r="X73" s="41"/>
      <c r="Y73" s="41"/>
    </row>
    <row r="74">
      <c r="V74" s="41"/>
      <c r="W74" s="41"/>
      <c r="X74" s="41"/>
      <c r="Y74" s="41"/>
    </row>
    <row r="75">
      <c r="V75" s="41"/>
      <c r="W75" s="41"/>
      <c r="X75" s="41"/>
      <c r="Y75" s="41"/>
    </row>
    <row r="76">
      <c r="V76" s="41"/>
      <c r="W76" s="41"/>
      <c r="X76" s="41"/>
      <c r="Y76" s="41"/>
    </row>
    <row r="77">
      <c r="V77" s="41"/>
      <c r="W77" s="41"/>
      <c r="X77" s="41"/>
      <c r="Y77" s="41"/>
    </row>
    <row r="78">
      <c r="V78" s="41"/>
      <c r="W78" s="41"/>
      <c r="X78" s="41"/>
      <c r="Y78" s="41"/>
    </row>
    <row r="79">
      <c r="V79" s="41"/>
      <c r="W79" s="41"/>
      <c r="X79" s="41"/>
      <c r="Y79" s="41"/>
    </row>
    <row r="80">
      <c r="V80" s="41"/>
      <c r="W80" s="41"/>
      <c r="X80" s="41"/>
      <c r="Y80" s="41"/>
    </row>
    <row r="81">
      <c r="V81" s="41"/>
      <c r="W81" s="41"/>
      <c r="X81" s="41"/>
      <c r="Y81" s="41"/>
    </row>
    <row r="82">
      <c r="V82" s="41"/>
      <c r="W82" s="41"/>
      <c r="X82" s="41"/>
      <c r="Y82" s="41"/>
    </row>
    <row r="83">
      <c r="V83" s="41"/>
      <c r="W83" s="41"/>
      <c r="X83" s="41"/>
      <c r="Y83" s="41"/>
    </row>
    <row r="84">
      <c r="V84" s="41"/>
      <c r="W84" s="41"/>
      <c r="X84" s="41"/>
      <c r="Y84" s="41"/>
    </row>
    <row r="85">
      <c r="V85" s="41"/>
      <c r="W85" s="41"/>
      <c r="X85" s="41"/>
      <c r="Y85" s="41"/>
    </row>
    <row r="86">
      <c r="V86" s="41"/>
      <c r="W86" s="41"/>
      <c r="X86" s="41"/>
      <c r="Y86" s="41"/>
    </row>
    <row r="87">
      <c r="V87" s="41"/>
      <c r="W87" s="41"/>
      <c r="X87" s="41"/>
      <c r="Y87" s="41"/>
    </row>
    <row r="88">
      <c r="V88" s="41"/>
      <c r="W88" s="41"/>
      <c r="X88" s="41"/>
      <c r="Y88" s="41"/>
    </row>
    <row r="89">
      <c r="V89" s="41"/>
      <c r="W89" s="41"/>
      <c r="X89" s="41"/>
      <c r="Y89" s="41"/>
    </row>
    <row r="90">
      <c r="V90" s="41"/>
      <c r="W90" s="41"/>
      <c r="X90" s="41"/>
      <c r="Y90" s="41"/>
    </row>
    <row r="91">
      <c r="V91" s="41"/>
      <c r="W91" s="41"/>
      <c r="X91" s="41"/>
      <c r="Y91" s="41"/>
    </row>
    <row r="92">
      <c r="V92" s="41"/>
      <c r="W92" s="41"/>
      <c r="X92" s="41"/>
      <c r="Y92" s="41"/>
    </row>
    <row r="93">
      <c r="V93" s="41"/>
      <c r="W93" s="41"/>
      <c r="X93" s="41"/>
      <c r="Y93" s="41"/>
    </row>
    <row r="94">
      <c r="V94" s="41"/>
      <c r="W94" s="41"/>
      <c r="X94" s="41"/>
      <c r="Y94" s="41"/>
    </row>
    <row r="95">
      <c r="V95" s="41"/>
      <c r="W95" s="41"/>
      <c r="X95" s="41"/>
      <c r="Y95" s="41"/>
    </row>
    <row r="96">
      <c r="V96" s="41"/>
      <c r="W96" s="41"/>
      <c r="X96" s="41"/>
      <c r="Y96" s="41"/>
    </row>
    <row r="97">
      <c r="V97" s="41"/>
      <c r="W97" s="41"/>
      <c r="X97" s="41"/>
      <c r="Y97" s="41"/>
    </row>
    <row r="98">
      <c r="V98" s="41"/>
      <c r="W98" s="41"/>
      <c r="X98" s="41"/>
      <c r="Y98" s="41"/>
    </row>
    <row r="99">
      <c r="V99" s="41"/>
      <c r="W99" s="41"/>
      <c r="X99" s="41"/>
      <c r="Y99" s="41"/>
    </row>
    <row r="100">
      <c r="V100" s="41"/>
      <c r="W100" s="41"/>
      <c r="X100" s="41"/>
      <c r="Y100" s="41"/>
    </row>
    <row r="101">
      <c r="V101" s="41"/>
      <c r="W101" s="41"/>
      <c r="X101" s="41"/>
      <c r="Y101" s="41"/>
    </row>
    <row r="102">
      <c r="V102" s="41"/>
      <c r="W102" s="41"/>
      <c r="X102" s="41"/>
      <c r="Y102" s="41"/>
    </row>
    <row r="103">
      <c r="V103" s="41"/>
      <c r="W103" s="41"/>
      <c r="X103" s="41"/>
      <c r="Y103" s="41"/>
    </row>
    <row r="104">
      <c r="V104" s="41"/>
      <c r="W104" s="41"/>
      <c r="X104" s="41"/>
      <c r="Y104" s="41"/>
    </row>
    <row r="105">
      <c r="V105" s="41"/>
      <c r="W105" s="41"/>
      <c r="X105" s="41"/>
      <c r="Y105" s="41"/>
    </row>
    <row r="106">
      <c r="V106" s="41"/>
      <c r="W106" s="41"/>
      <c r="X106" s="41"/>
      <c r="Y106" s="41"/>
    </row>
    <row r="107">
      <c r="V107" s="41"/>
      <c r="W107" s="41"/>
      <c r="X107" s="41"/>
      <c r="Y107" s="41"/>
    </row>
    <row r="108">
      <c r="V108" s="41"/>
      <c r="W108" s="41"/>
      <c r="X108" s="41"/>
      <c r="Y108" s="41"/>
    </row>
    <row r="109">
      <c r="V109" s="41"/>
      <c r="W109" s="41"/>
      <c r="X109" s="41"/>
      <c r="Y109" s="41"/>
    </row>
    <row r="110">
      <c r="V110" s="41"/>
      <c r="W110" s="41"/>
      <c r="X110" s="41"/>
      <c r="Y110" s="41"/>
    </row>
    <row r="111">
      <c r="V111" s="41"/>
      <c r="W111" s="41"/>
      <c r="X111" s="41"/>
      <c r="Y111" s="41"/>
    </row>
    <row r="112">
      <c r="V112" s="41"/>
      <c r="W112" s="41"/>
      <c r="X112" s="41"/>
      <c r="Y112" s="41"/>
    </row>
    <row r="113">
      <c r="V113" s="41"/>
      <c r="W113" s="41"/>
      <c r="X113" s="41"/>
      <c r="Y113" s="41"/>
    </row>
    <row r="114">
      <c r="V114" s="41"/>
      <c r="W114" s="41"/>
      <c r="X114" s="41"/>
      <c r="Y114" s="41"/>
    </row>
    <row r="115">
      <c r="V115" s="41"/>
      <c r="W115" s="41"/>
      <c r="X115" s="41"/>
      <c r="Y115" s="41"/>
    </row>
    <row r="116">
      <c r="V116" s="41"/>
      <c r="W116" s="41"/>
      <c r="X116" s="41"/>
      <c r="Y116" s="41"/>
    </row>
    <row r="117">
      <c r="V117" s="41"/>
      <c r="W117" s="41"/>
      <c r="X117" s="41"/>
      <c r="Y117" s="41"/>
    </row>
    <row r="118">
      <c r="V118" s="41"/>
      <c r="W118" s="41"/>
      <c r="X118" s="41"/>
      <c r="Y118" s="41"/>
    </row>
    <row r="119">
      <c r="V119" s="41"/>
      <c r="W119" s="41"/>
      <c r="X119" s="41"/>
      <c r="Y119" s="41"/>
    </row>
    <row r="120">
      <c r="V120" s="41"/>
      <c r="W120" s="41"/>
      <c r="X120" s="41"/>
      <c r="Y120" s="41"/>
    </row>
    <row r="121">
      <c r="V121" s="41"/>
      <c r="W121" s="41"/>
      <c r="X121" s="41"/>
      <c r="Y121" s="41"/>
    </row>
    <row r="122">
      <c r="V122" s="41"/>
      <c r="W122" s="41"/>
      <c r="X122" s="41"/>
      <c r="Y122" s="41"/>
    </row>
    <row r="123">
      <c r="V123" s="41"/>
      <c r="W123" s="41"/>
      <c r="X123" s="41"/>
      <c r="Y123" s="41"/>
    </row>
    <row r="124">
      <c r="V124" s="41"/>
      <c r="W124" s="41"/>
      <c r="X124" s="41"/>
      <c r="Y124" s="41"/>
    </row>
    <row r="125">
      <c r="V125" s="41"/>
      <c r="W125" s="41"/>
      <c r="X125" s="41"/>
      <c r="Y125" s="41"/>
    </row>
    <row r="126">
      <c r="V126" s="41"/>
      <c r="W126" s="41"/>
      <c r="X126" s="41"/>
      <c r="Y126" s="41"/>
    </row>
    <row r="127">
      <c r="V127" s="41"/>
      <c r="W127" s="41"/>
      <c r="X127" s="41"/>
      <c r="Y127" s="41"/>
    </row>
    <row r="128">
      <c r="V128" s="41"/>
      <c r="W128" s="41"/>
      <c r="X128" s="41"/>
      <c r="Y128" s="41"/>
    </row>
    <row r="129">
      <c r="V129" s="41"/>
      <c r="W129" s="41"/>
      <c r="X129" s="41"/>
      <c r="Y129" s="41"/>
    </row>
    <row r="130">
      <c r="V130" s="41"/>
      <c r="W130" s="41"/>
      <c r="X130" s="41"/>
      <c r="Y130" s="41"/>
    </row>
    <row r="131">
      <c r="V131" s="41"/>
      <c r="W131" s="41"/>
      <c r="X131" s="41"/>
      <c r="Y131" s="41"/>
    </row>
    <row r="132">
      <c r="V132" s="41"/>
      <c r="W132" s="41"/>
      <c r="X132" s="41"/>
      <c r="Y132" s="41"/>
    </row>
    <row r="133">
      <c r="V133" s="41"/>
      <c r="W133" s="41"/>
      <c r="X133" s="41"/>
      <c r="Y133" s="41"/>
    </row>
    <row r="134">
      <c r="V134" s="41"/>
      <c r="W134" s="41"/>
      <c r="X134" s="41"/>
      <c r="Y134" s="41"/>
    </row>
    <row r="135">
      <c r="V135" s="41"/>
      <c r="W135" s="41"/>
      <c r="X135" s="41"/>
      <c r="Y135" s="41"/>
    </row>
    <row r="136">
      <c r="V136" s="41"/>
      <c r="W136" s="41"/>
      <c r="X136" s="41"/>
      <c r="Y136" s="41"/>
    </row>
    <row r="137">
      <c r="V137" s="41"/>
      <c r="W137" s="41"/>
      <c r="X137" s="41"/>
      <c r="Y137" s="41"/>
    </row>
    <row r="138">
      <c r="V138" s="41"/>
      <c r="W138" s="41"/>
      <c r="X138" s="41"/>
      <c r="Y138" s="41"/>
    </row>
    <row r="139">
      <c r="V139" s="41"/>
      <c r="W139" s="41"/>
      <c r="X139" s="41"/>
      <c r="Y139" s="41"/>
    </row>
    <row r="140">
      <c r="V140" s="41"/>
      <c r="W140" s="41"/>
      <c r="X140" s="41"/>
      <c r="Y140" s="41"/>
    </row>
    <row r="141">
      <c r="V141" s="41"/>
      <c r="W141" s="41"/>
      <c r="X141" s="41"/>
      <c r="Y141" s="41"/>
    </row>
    <row r="142">
      <c r="V142" s="41"/>
      <c r="W142" s="41"/>
      <c r="X142" s="41"/>
      <c r="Y142" s="41"/>
    </row>
    <row r="143">
      <c r="V143" s="41"/>
      <c r="W143" s="41"/>
      <c r="X143" s="41"/>
      <c r="Y143" s="41"/>
    </row>
    <row r="144">
      <c r="V144" s="41"/>
      <c r="W144" s="41"/>
      <c r="X144" s="41"/>
      <c r="Y144" s="41"/>
    </row>
    <row r="145">
      <c r="V145" s="41"/>
      <c r="W145" s="41"/>
      <c r="X145" s="41"/>
      <c r="Y145" s="41"/>
    </row>
    <row r="146">
      <c r="V146" s="41"/>
      <c r="W146" s="41"/>
      <c r="X146" s="41"/>
      <c r="Y146" s="41"/>
    </row>
    <row r="147">
      <c r="V147" s="41"/>
      <c r="W147" s="41"/>
      <c r="X147" s="41"/>
      <c r="Y147" s="41"/>
    </row>
    <row r="148">
      <c r="V148" s="41"/>
      <c r="W148" s="41"/>
      <c r="X148" s="41"/>
      <c r="Y148" s="41"/>
    </row>
    <row r="149">
      <c r="V149" s="41"/>
      <c r="W149" s="41"/>
      <c r="X149" s="41"/>
      <c r="Y149" s="41"/>
    </row>
    <row r="150">
      <c r="V150" s="41"/>
      <c r="W150" s="41"/>
      <c r="X150" s="41"/>
      <c r="Y150" s="41"/>
    </row>
    <row r="151">
      <c r="V151" s="41"/>
      <c r="W151" s="41"/>
      <c r="X151" s="41"/>
      <c r="Y151" s="41"/>
    </row>
    <row r="152">
      <c r="V152" s="41"/>
      <c r="W152" s="41"/>
      <c r="X152" s="41"/>
      <c r="Y152" s="41"/>
    </row>
    <row r="153">
      <c r="V153" s="41"/>
      <c r="W153" s="41"/>
      <c r="X153" s="41"/>
      <c r="Y153" s="41"/>
    </row>
    <row r="154">
      <c r="V154" s="41"/>
      <c r="W154" s="41"/>
      <c r="X154" s="41"/>
      <c r="Y154" s="41"/>
    </row>
    <row r="155">
      <c r="V155" s="41"/>
      <c r="W155" s="41"/>
      <c r="X155" s="41"/>
      <c r="Y155" s="41"/>
    </row>
    <row r="156">
      <c r="V156" s="41"/>
      <c r="W156" s="41"/>
      <c r="X156" s="41"/>
      <c r="Y156" s="41"/>
    </row>
    <row r="157">
      <c r="V157" s="41"/>
      <c r="W157" s="41"/>
      <c r="X157" s="41"/>
      <c r="Y157" s="41"/>
    </row>
    <row r="158">
      <c r="V158" s="41"/>
      <c r="W158" s="41"/>
      <c r="X158" s="41"/>
      <c r="Y158" s="41"/>
    </row>
    <row r="159">
      <c r="V159" s="41"/>
      <c r="W159" s="41"/>
      <c r="X159" s="41"/>
      <c r="Y159" s="41"/>
    </row>
    <row r="160">
      <c r="V160" s="41"/>
      <c r="W160" s="41"/>
      <c r="X160" s="41"/>
      <c r="Y160" s="41"/>
    </row>
    <row r="161">
      <c r="V161" s="41"/>
      <c r="W161" s="41"/>
      <c r="X161" s="41"/>
      <c r="Y161" s="41"/>
    </row>
    <row r="162">
      <c r="V162" s="41"/>
      <c r="W162" s="41"/>
      <c r="X162" s="41"/>
      <c r="Y162" s="41"/>
    </row>
    <row r="163">
      <c r="V163" s="41"/>
      <c r="W163" s="41"/>
      <c r="X163" s="41"/>
      <c r="Y163" s="41"/>
    </row>
    <row r="164">
      <c r="V164" s="41"/>
      <c r="W164" s="41"/>
      <c r="X164" s="41"/>
      <c r="Y164" s="41"/>
    </row>
    <row r="165">
      <c r="V165" s="41"/>
      <c r="W165" s="41"/>
      <c r="X165" s="41"/>
      <c r="Y165" s="41"/>
    </row>
    <row r="166">
      <c r="V166" s="41"/>
      <c r="W166" s="41"/>
      <c r="X166" s="41"/>
      <c r="Y166" s="41"/>
    </row>
    <row r="167">
      <c r="V167" s="41"/>
      <c r="W167" s="41"/>
      <c r="X167" s="41"/>
      <c r="Y167" s="41"/>
    </row>
    <row r="168">
      <c r="V168" s="41"/>
      <c r="W168" s="41"/>
      <c r="X168" s="41"/>
      <c r="Y168" s="41"/>
    </row>
    <row r="169">
      <c r="V169" s="41"/>
      <c r="W169" s="41"/>
      <c r="X169" s="41"/>
      <c r="Y169" s="41"/>
    </row>
    <row r="170">
      <c r="V170" s="41"/>
      <c r="W170" s="41"/>
      <c r="X170" s="41"/>
      <c r="Y170" s="41"/>
    </row>
    <row r="171">
      <c r="V171" s="41"/>
      <c r="W171" s="41"/>
      <c r="X171" s="41"/>
      <c r="Y171" s="41"/>
    </row>
    <row r="172">
      <c r="V172" s="41"/>
      <c r="W172" s="41"/>
      <c r="X172" s="41"/>
      <c r="Y172" s="41"/>
    </row>
    <row r="173">
      <c r="V173" s="41"/>
      <c r="W173" s="41"/>
      <c r="X173" s="41"/>
      <c r="Y173" s="41"/>
    </row>
    <row r="174">
      <c r="V174" s="41"/>
      <c r="W174" s="41"/>
      <c r="X174" s="41"/>
      <c r="Y174" s="41"/>
    </row>
    <row r="175">
      <c r="V175" s="41"/>
      <c r="W175" s="41"/>
      <c r="X175" s="41"/>
      <c r="Y175" s="41"/>
    </row>
    <row r="176">
      <c r="V176" s="41"/>
      <c r="W176" s="41"/>
      <c r="X176" s="41"/>
      <c r="Y176" s="41"/>
    </row>
    <row r="177">
      <c r="V177" s="41"/>
      <c r="W177" s="41"/>
      <c r="X177" s="41"/>
      <c r="Y177" s="41"/>
    </row>
    <row r="178">
      <c r="V178" s="41"/>
      <c r="W178" s="41"/>
      <c r="X178" s="41"/>
      <c r="Y178" s="41"/>
    </row>
    <row r="179">
      <c r="V179" s="41"/>
      <c r="W179" s="41"/>
      <c r="X179" s="41"/>
      <c r="Y179" s="41"/>
    </row>
    <row r="180">
      <c r="V180" s="41"/>
      <c r="W180" s="41"/>
      <c r="X180" s="41"/>
      <c r="Y180" s="41"/>
    </row>
    <row r="181">
      <c r="V181" s="41"/>
      <c r="W181" s="41"/>
      <c r="X181" s="41"/>
      <c r="Y181" s="41"/>
    </row>
    <row r="182">
      <c r="V182" s="41"/>
      <c r="W182" s="41"/>
      <c r="X182" s="41"/>
      <c r="Y182" s="41"/>
    </row>
    <row r="183">
      <c r="V183" s="41"/>
      <c r="W183" s="41"/>
      <c r="X183" s="41"/>
      <c r="Y183" s="41"/>
    </row>
    <row r="184">
      <c r="V184" s="41"/>
      <c r="W184" s="41"/>
      <c r="X184" s="41"/>
      <c r="Y184" s="41"/>
    </row>
    <row r="185">
      <c r="V185" s="41"/>
      <c r="W185" s="41"/>
      <c r="X185" s="41"/>
      <c r="Y185" s="41"/>
    </row>
    <row r="186">
      <c r="V186" s="41"/>
      <c r="W186" s="41"/>
      <c r="X186" s="41"/>
      <c r="Y186" s="41"/>
    </row>
    <row r="187">
      <c r="V187" s="41"/>
      <c r="W187" s="41"/>
      <c r="X187" s="41"/>
      <c r="Y187" s="41"/>
    </row>
    <row r="188">
      <c r="V188" s="41"/>
      <c r="W188" s="41"/>
      <c r="X188" s="41"/>
      <c r="Y188" s="41"/>
    </row>
    <row r="189">
      <c r="V189" s="41"/>
      <c r="W189" s="41"/>
      <c r="X189" s="41"/>
      <c r="Y189" s="41"/>
    </row>
    <row r="190">
      <c r="V190" s="41"/>
      <c r="W190" s="41"/>
      <c r="X190" s="41"/>
      <c r="Y190" s="41"/>
    </row>
    <row r="191">
      <c r="V191" s="41"/>
      <c r="W191" s="41"/>
      <c r="X191" s="41"/>
      <c r="Y191" s="41"/>
    </row>
    <row r="192">
      <c r="V192" s="41"/>
      <c r="W192" s="41"/>
      <c r="X192" s="41"/>
      <c r="Y192" s="41"/>
    </row>
    <row r="193">
      <c r="V193" s="41"/>
      <c r="W193" s="41"/>
      <c r="X193" s="41"/>
      <c r="Y193" s="41"/>
    </row>
    <row r="194">
      <c r="V194" s="41"/>
      <c r="W194" s="41"/>
      <c r="X194" s="41"/>
      <c r="Y194" s="41"/>
    </row>
    <row r="195">
      <c r="V195" s="41"/>
      <c r="W195" s="41"/>
      <c r="X195" s="41"/>
      <c r="Y195" s="41"/>
    </row>
    <row r="196">
      <c r="V196" s="41"/>
      <c r="W196" s="41"/>
      <c r="X196" s="41"/>
      <c r="Y196" s="41"/>
    </row>
    <row r="197">
      <c r="V197" s="41"/>
      <c r="W197" s="41"/>
      <c r="X197" s="41"/>
      <c r="Y197" s="41"/>
    </row>
    <row r="198">
      <c r="V198" s="41"/>
      <c r="W198" s="41"/>
      <c r="X198" s="41"/>
      <c r="Y198" s="41"/>
    </row>
    <row r="199">
      <c r="V199" s="41"/>
      <c r="W199" s="41"/>
      <c r="X199" s="41"/>
      <c r="Y199" s="41"/>
    </row>
    <row r="200">
      <c r="V200" s="41"/>
      <c r="W200" s="41"/>
      <c r="X200" s="41"/>
      <c r="Y200" s="41"/>
    </row>
    <row r="201">
      <c r="V201" s="41"/>
      <c r="W201" s="41"/>
      <c r="X201" s="41"/>
      <c r="Y201" s="41"/>
    </row>
    <row r="202">
      <c r="V202" s="41"/>
      <c r="W202" s="41"/>
      <c r="X202" s="41"/>
      <c r="Y202" s="41"/>
    </row>
    <row r="203">
      <c r="V203" s="41"/>
      <c r="W203" s="41"/>
      <c r="X203" s="41"/>
      <c r="Y203" s="41"/>
    </row>
    <row r="204">
      <c r="V204" s="41"/>
      <c r="W204" s="41"/>
      <c r="X204" s="41"/>
      <c r="Y204" s="41"/>
    </row>
    <row r="205">
      <c r="V205" s="41"/>
      <c r="W205" s="41"/>
      <c r="X205" s="41"/>
      <c r="Y205" s="41"/>
    </row>
    <row r="206">
      <c r="V206" s="41"/>
      <c r="W206" s="41"/>
      <c r="X206" s="41"/>
      <c r="Y206" s="41"/>
    </row>
    <row r="207">
      <c r="V207" s="41"/>
      <c r="W207" s="41"/>
      <c r="X207" s="41"/>
      <c r="Y207" s="41"/>
    </row>
    <row r="208">
      <c r="V208" s="41"/>
      <c r="W208" s="41"/>
      <c r="X208" s="41"/>
      <c r="Y208" s="41"/>
    </row>
    <row r="209">
      <c r="V209" s="41"/>
      <c r="W209" s="41"/>
      <c r="X209" s="41"/>
      <c r="Y209" s="41"/>
    </row>
    <row r="210">
      <c r="V210" s="41"/>
      <c r="W210" s="41"/>
      <c r="X210" s="41"/>
      <c r="Y210" s="41"/>
    </row>
    <row r="211">
      <c r="V211" s="41"/>
      <c r="W211" s="41"/>
      <c r="X211" s="41"/>
      <c r="Y211" s="41"/>
    </row>
    <row r="212">
      <c r="V212" s="41"/>
      <c r="W212" s="41"/>
      <c r="X212" s="41"/>
      <c r="Y212" s="41"/>
    </row>
    <row r="213">
      <c r="V213" s="41"/>
      <c r="W213" s="41"/>
      <c r="X213" s="41"/>
      <c r="Y213" s="41"/>
    </row>
    <row r="214">
      <c r="V214" s="41"/>
      <c r="W214" s="41"/>
      <c r="X214" s="41"/>
      <c r="Y214" s="41"/>
    </row>
    <row r="215">
      <c r="V215" s="41"/>
      <c r="W215" s="41"/>
      <c r="X215" s="41"/>
      <c r="Y215" s="41"/>
    </row>
    <row r="216">
      <c r="V216" s="41"/>
      <c r="W216" s="41"/>
      <c r="X216" s="41"/>
      <c r="Y216" s="41"/>
    </row>
    <row r="217">
      <c r="V217" s="41"/>
      <c r="W217" s="41"/>
      <c r="X217" s="41"/>
      <c r="Y217" s="41"/>
    </row>
    <row r="218">
      <c r="V218" s="41"/>
      <c r="W218" s="41"/>
      <c r="X218" s="41"/>
      <c r="Y218" s="41"/>
    </row>
    <row r="219">
      <c r="V219" s="41"/>
      <c r="W219" s="41"/>
      <c r="X219" s="41"/>
      <c r="Y219" s="41"/>
    </row>
    <row r="220">
      <c r="V220" s="41"/>
      <c r="W220" s="41"/>
      <c r="X220" s="41"/>
      <c r="Y220" s="41"/>
    </row>
    <row r="221">
      <c r="V221" s="41"/>
      <c r="W221" s="41"/>
      <c r="X221" s="41"/>
      <c r="Y221" s="41"/>
    </row>
    <row r="222">
      <c r="V222" s="41"/>
      <c r="W222" s="41"/>
      <c r="X222" s="41"/>
      <c r="Y222" s="41"/>
    </row>
    <row r="223">
      <c r="V223" s="41"/>
      <c r="W223" s="41"/>
      <c r="X223" s="41"/>
      <c r="Y223" s="41"/>
    </row>
    <row r="224">
      <c r="V224" s="41"/>
      <c r="W224" s="41"/>
      <c r="X224" s="41"/>
      <c r="Y224" s="41"/>
    </row>
    <row r="225">
      <c r="V225" s="41"/>
      <c r="W225" s="41"/>
      <c r="X225" s="41"/>
      <c r="Y225" s="41"/>
    </row>
    <row r="226">
      <c r="V226" s="41"/>
      <c r="W226" s="41"/>
      <c r="X226" s="41"/>
      <c r="Y226" s="41"/>
    </row>
    <row r="227">
      <c r="V227" s="41"/>
      <c r="W227" s="41"/>
      <c r="X227" s="41"/>
      <c r="Y227" s="41"/>
    </row>
    <row r="228">
      <c r="V228" s="41"/>
      <c r="W228" s="41"/>
      <c r="X228" s="41"/>
      <c r="Y228" s="41"/>
    </row>
    <row r="229">
      <c r="V229" s="41"/>
      <c r="W229" s="41"/>
      <c r="X229" s="41"/>
      <c r="Y229" s="41"/>
    </row>
    <row r="230">
      <c r="V230" s="41"/>
      <c r="W230" s="41"/>
      <c r="X230" s="41"/>
      <c r="Y230" s="41"/>
    </row>
    <row r="231">
      <c r="V231" s="41"/>
      <c r="W231" s="41"/>
      <c r="X231" s="41"/>
      <c r="Y231" s="41"/>
    </row>
    <row r="232">
      <c r="V232" s="41"/>
      <c r="W232" s="41"/>
      <c r="X232" s="41"/>
      <c r="Y232" s="41"/>
    </row>
    <row r="233">
      <c r="V233" s="41"/>
      <c r="W233" s="41"/>
      <c r="X233" s="41"/>
      <c r="Y233" s="41"/>
    </row>
    <row r="234">
      <c r="V234" s="41"/>
      <c r="W234" s="41"/>
      <c r="X234" s="41"/>
      <c r="Y234" s="41"/>
    </row>
    <row r="235">
      <c r="V235" s="41"/>
      <c r="W235" s="41"/>
      <c r="X235" s="41"/>
      <c r="Y235" s="41"/>
    </row>
    <row r="236">
      <c r="V236" s="41"/>
      <c r="W236" s="41"/>
      <c r="X236" s="41"/>
      <c r="Y236" s="41"/>
    </row>
    <row r="237">
      <c r="V237" s="41"/>
      <c r="W237" s="41"/>
      <c r="X237" s="41"/>
      <c r="Y237" s="41"/>
    </row>
    <row r="238">
      <c r="V238" s="41"/>
      <c r="W238" s="41"/>
      <c r="X238" s="41"/>
      <c r="Y238" s="41"/>
    </row>
    <row r="239">
      <c r="V239" s="41"/>
      <c r="W239" s="41"/>
      <c r="X239" s="41"/>
      <c r="Y239" s="41"/>
    </row>
    <row r="240">
      <c r="V240" s="41"/>
      <c r="W240" s="41"/>
      <c r="X240" s="41"/>
      <c r="Y240" s="41"/>
    </row>
    <row r="241">
      <c r="V241" s="41"/>
      <c r="W241" s="41"/>
      <c r="X241" s="41"/>
      <c r="Y241" s="41"/>
    </row>
    <row r="242">
      <c r="V242" s="41"/>
      <c r="W242" s="41"/>
      <c r="X242" s="41"/>
      <c r="Y242" s="41"/>
    </row>
    <row r="243">
      <c r="V243" s="41"/>
      <c r="W243" s="41"/>
      <c r="X243" s="41"/>
      <c r="Y243" s="41"/>
    </row>
    <row r="244">
      <c r="V244" s="41"/>
      <c r="W244" s="41"/>
      <c r="X244" s="41"/>
      <c r="Y244" s="41"/>
    </row>
    <row r="245">
      <c r="V245" s="41"/>
      <c r="W245" s="41"/>
      <c r="X245" s="41"/>
      <c r="Y245" s="41"/>
    </row>
    <row r="246">
      <c r="V246" s="41"/>
      <c r="W246" s="41"/>
      <c r="X246" s="41"/>
      <c r="Y246" s="41"/>
    </row>
    <row r="247">
      <c r="V247" s="41"/>
      <c r="W247" s="41"/>
      <c r="X247" s="41"/>
      <c r="Y247" s="41"/>
    </row>
    <row r="248">
      <c r="V248" s="41"/>
      <c r="W248" s="41"/>
      <c r="X248" s="41"/>
      <c r="Y248" s="41"/>
    </row>
    <row r="249">
      <c r="V249" s="41"/>
      <c r="W249" s="41"/>
      <c r="X249" s="41"/>
      <c r="Y249" s="41"/>
    </row>
    <row r="250">
      <c r="V250" s="41"/>
      <c r="W250" s="41"/>
      <c r="X250" s="41"/>
      <c r="Y250" s="41"/>
    </row>
    <row r="251">
      <c r="V251" s="41"/>
      <c r="W251" s="41"/>
      <c r="X251" s="41"/>
      <c r="Y251" s="41"/>
    </row>
    <row r="252">
      <c r="V252" s="41"/>
      <c r="W252" s="41"/>
      <c r="X252" s="41"/>
      <c r="Y252" s="41"/>
    </row>
    <row r="253">
      <c r="V253" s="41"/>
      <c r="W253" s="41"/>
      <c r="X253" s="41"/>
      <c r="Y253" s="41"/>
    </row>
    <row r="254">
      <c r="V254" s="41"/>
      <c r="W254" s="41"/>
      <c r="X254" s="41"/>
      <c r="Y254" s="41"/>
    </row>
    <row r="255">
      <c r="V255" s="41"/>
      <c r="W255" s="41"/>
      <c r="X255" s="41"/>
      <c r="Y255" s="41"/>
    </row>
    <row r="256">
      <c r="V256" s="41"/>
      <c r="W256" s="41"/>
      <c r="X256" s="41"/>
      <c r="Y256" s="41"/>
    </row>
    <row r="257">
      <c r="V257" s="41"/>
      <c r="W257" s="41"/>
      <c r="X257" s="41"/>
      <c r="Y257" s="41"/>
    </row>
    <row r="258">
      <c r="V258" s="41"/>
      <c r="W258" s="41"/>
      <c r="X258" s="41"/>
      <c r="Y258" s="41"/>
    </row>
    <row r="259">
      <c r="V259" s="41"/>
      <c r="W259" s="41"/>
      <c r="X259" s="41"/>
      <c r="Y259" s="41"/>
    </row>
    <row r="260">
      <c r="V260" s="41"/>
      <c r="W260" s="41"/>
      <c r="X260" s="41"/>
      <c r="Y260" s="41"/>
    </row>
    <row r="261">
      <c r="V261" s="41"/>
      <c r="W261" s="41"/>
      <c r="X261" s="41"/>
      <c r="Y261" s="41"/>
    </row>
    <row r="262">
      <c r="V262" s="41"/>
      <c r="W262" s="41"/>
      <c r="X262" s="41"/>
      <c r="Y262" s="41"/>
    </row>
    <row r="263">
      <c r="V263" s="41"/>
      <c r="W263" s="41"/>
      <c r="X263" s="41"/>
      <c r="Y263" s="41"/>
    </row>
    <row r="264">
      <c r="V264" s="41"/>
      <c r="W264" s="41"/>
      <c r="X264" s="41"/>
      <c r="Y264" s="41"/>
    </row>
    <row r="265">
      <c r="V265" s="41"/>
      <c r="W265" s="41"/>
      <c r="X265" s="41"/>
      <c r="Y265" s="41"/>
    </row>
    <row r="266">
      <c r="V266" s="41"/>
      <c r="W266" s="41"/>
      <c r="X266" s="41"/>
      <c r="Y266" s="41"/>
    </row>
    <row r="267">
      <c r="V267" s="41"/>
      <c r="W267" s="41"/>
      <c r="X267" s="41"/>
      <c r="Y267" s="41"/>
    </row>
    <row r="268">
      <c r="V268" s="41"/>
      <c r="W268" s="41"/>
      <c r="X268" s="41"/>
      <c r="Y268" s="41"/>
    </row>
    <row r="269">
      <c r="V269" s="41"/>
      <c r="W269" s="41"/>
      <c r="X269" s="41"/>
      <c r="Y269" s="41"/>
    </row>
    <row r="270">
      <c r="V270" s="41"/>
      <c r="W270" s="41"/>
      <c r="X270" s="41"/>
      <c r="Y270" s="41"/>
    </row>
    <row r="271">
      <c r="V271" s="41"/>
      <c r="W271" s="41"/>
      <c r="X271" s="41"/>
      <c r="Y271" s="41"/>
    </row>
    <row r="272">
      <c r="V272" s="41"/>
      <c r="W272" s="41"/>
      <c r="X272" s="41"/>
      <c r="Y272" s="41"/>
    </row>
    <row r="273">
      <c r="V273" s="41"/>
      <c r="W273" s="41"/>
      <c r="X273" s="41"/>
      <c r="Y273" s="41"/>
    </row>
    <row r="274">
      <c r="V274" s="41"/>
      <c r="W274" s="41"/>
      <c r="X274" s="41"/>
      <c r="Y274" s="41"/>
    </row>
    <row r="275">
      <c r="V275" s="41"/>
      <c r="W275" s="41"/>
      <c r="X275" s="41"/>
      <c r="Y275" s="41"/>
    </row>
    <row r="276">
      <c r="V276" s="41"/>
      <c r="W276" s="41"/>
      <c r="X276" s="41"/>
      <c r="Y276" s="41"/>
    </row>
    <row r="277">
      <c r="V277" s="41"/>
      <c r="W277" s="41"/>
      <c r="X277" s="41"/>
      <c r="Y277" s="41"/>
    </row>
    <row r="278">
      <c r="V278" s="41"/>
      <c r="W278" s="41"/>
      <c r="X278" s="41"/>
      <c r="Y278" s="41"/>
    </row>
    <row r="279">
      <c r="V279" s="41"/>
      <c r="W279" s="41"/>
      <c r="X279" s="41"/>
      <c r="Y279" s="41"/>
    </row>
    <row r="280">
      <c r="V280" s="41"/>
      <c r="W280" s="41"/>
      <c r="X280" s="41"/>
      <c r="Y280" s="41"/>
    </row>
    <row r="281">
      <c r="V281" s="41"/>
      <c r="W281" s="41"/>
      <c r="X281" s="41"/>
      <c r="Y281" s="41"/>
    </row>
    <row r="282">
      <c r="V282" s="41"/>
      <c r="W282" s="41"/>
      <c r="X282" s="41"/>
      <c r="Y282" s="41"/>
    </row>
    <row r="283">
      <c r="V283" s="41"/>
      <c r="W283" s="41"/>
      <c r="X283" s="41"/>
      <c r="Y283" s="41"/>
    </row>
    <row r="284">
      <c r="V284" s="41"/>
      <c r="W284" s="41"/>
      <c r="X284" s="41"/>
      <c r="Y284" s="41"/>
    </row>
    <row r="285">
      <c r="V285" s="41"/>
      <c r="W285" s="41"/>
      <c r="X285" s="41"/>
      <c r="Y285" s="41"/>
    </row>
    <row r="286">
      <c r="V286" s="41"/>
      <c r="W286" s="41"/>
      <c r="X286" s="41"/>
      <c r="Y286" s="41"/>
    </row>
    <row r="287">
      <c r="V287" s="41"/>
      <c r="W287" s="41"/>
      <c r="X287" s="41"/>
      <c r="Y287" s="41"/>
    </row>
    <row r="288">
      <c r="V288" s="41"/>
      <c r="W288" s="41"/>
      <c r="X288" s="41"/>
      <c r="Y288" s="41"/>
    </row>
    <row r="289">
      <c r="V289" s="41"/>
      <c r="W289" s="41"/>
      <c r="X289" s="41"/>
      <c r="Y289" s="41"/>
    </row>
    <row r="290">
      <c r="V290" s="41"/>
      <c r="W290" s="41"/>
      <c r="X290" s="41"/>
      <c r="Y290" s="41"/>
    </row>
    <row r="291">
      <c r="V291" s="41"/>
      <c r="W291" s="41"/>
      <c r="X291" s="41"/>
      <c r="Y291" s="41"/>
    </row>
    <row r="292">
      <c r="V292" s="41"/>
      <c r="W292" s="41"/>
      <c r="X292" s="41"/>
      <c r="Y292" s="41"/>
    </row>
    <row r="293">
      <c r="V293" s="41"/>
      <c r="W293" s="41"/>
      <c r="X293" s="41"/>
      <c r="Y293" s="41"/>
    </row>
    <row r="294">
      <c r="V294" s="41"/>
      <c r="W294" s="41"/>
      <c r="X294" s="41"/>
      <c r="Y294" s="41"/>
    </row>
    <row r="295">
      <c r="V295" s="41"/>
      <c r="W295" s="41"/>
      <c r="X295" s="41"/>
      <c r="Y295" s="41"/>
    </row>
    <row r="296">
      <c r="V296" s="41"/>
      <c r="W296" s="41"/>
      <c r="X296" s="41"/>
      <c r="Y296" s="41"/>
    </row>
    <row r="297">
      <c r="V297" s="41"/>
      <c r="W297" s="41"/>
      <c r="X297" s="41"/>
      <c r="Y297" s="41"/>
    </row>
    <row r="298">
      <c r="V298" s="41"/>
      <c r="W298" s="41"/>
      <c r="X298" s="41"/>
      <c r="Y298" s="41"/>
    </row>
    <row r="299">
      <c r="V299" s="41"/>
      <c r="W299" s="41"/>
      <c r="X299" s="41"/>
      <c r="Y299" s="41"/>
    </row>
    <row r="300">
      <c r="V300" s="41"/>
      <c r="W300" s="41"/>
      <c r="X300" s="41"/>
      <c r="Y300" s="41"/>
    </row>
    <row r="301">
      <c r="V301" s="41"/>
      <c r="W301" s="41"/>
      <c r="X301" s="41"/>
      <c r="Y301" s="41"/>
    </row>
    <row r="302">
      <c r="V302" s="41"/>
      <c r="W302" s="41"/>
      <c r="X302" s="41"/>
      <c r="Y302" s="41"/>
    </row>
    <row r="303">
      <c r="V303" s="41"/>
      <c r="W303" s="41"/>
      <c r="X303" s="41"/>
      <c r="Y303" s="41"/>
    </row>
    <row r="304">
      <c r="V304" s="41"/>
      <c r="W304" s="41"/>
      <c r="X304" s="41"/>
      <c r="Y304" s="41"/>
    </row>
    <row r="305">
      <c r="V305" s="41"/>
      <c r="W305" s="41"/>
      <c r="X305" s="41"/>
      <c r="Y305" s="41"/>
    </row>
    <row r="306">
      <c r="V306" s="41"/>
      <c r="W306" s="41"/>
      <c r="X306" s="41"/>
      <c r="Y306" s="41"/>
    </row>
    <row r="307">
      <c r="V307" s="41"/>
      <c r="W307" s="41"/>
      <c r="X307" s="41"/>
      <c r="Y307" s="41"/>
    </row>
    <row r="308">
      <c r="V308" s="41"/>
      <c r="W308" s="41"/>
      <c r="X308" s="41"/>
      <c r="Y308" s="41"/>
    </row>
    <row r="309">
      <c r="V309" s="41"/>
      <c r="W309" s="41"/>
      <c r="X309" s="41"/>
      <c r="Y309" s="41"/>
    </row>
    <row r="310">
      <c r="V310" s="41"/>
      <c r="W310" s="41"/>
      <c r="X310" s="41"/>
      <c r="Y310" s="41"/>
    </row>
    <row r="311">
      <c r="V311" s="41"/>
      <c r="W311" s="41"/>
      <c r="X311" s="41"/>
      <c r="Y311" s="41"/>
    </row>
    <row r="312">
      <c r="V312" s="41"/>
      <c r="W312" s="41"/>
      <c r="X312" s="41"/>
      <c r="Y312" s="41"/>
    </row>
    <row r="313">
      <c r="V313" s="41"/>
      <c r="W313" s="41"/>
      <c r="X313" s="41"/>
      <c r="Y313" s="41"/>
    </row>
    <row r="314">
      <c r="V314" s="41"/>
      <c r="W314" s="41"/>
      <c r="X314" s="41"/>
      <c r="Y314" s="41"/>
    </row>
    <row r="315">
      <c r="V315" s="41"/>
      <c r="W315" s="41"/>
      <c r="X315" s="41"/>
      <c r="Y315" s="41"/>
    </row>
    <row r="316">
      <c r="V316" s="41"/>
      <c r="W316" s="41"/>
      <c r="X316" s="41"/>
      <c r="Y316" s="41"/>
    </row>
    <row r="317">
      <c r="V317" s="41"/>
      <c r="W317" s="41"/>
      <c r="X317" s="41"/>
      <c r="Y317" s="41"/>
    </row>
    <row r="318">
      <c r="V318" s="41"/>
      <c r="W318" s="41"/>
      <c r="X318" s="41"/>
      <c r="Y318" s="41"/>
    </row>
    <row r="319">
      <c r="V319" s="41"/>
      <c r="W319" s="41"/>
      <c r="X319" s="41"/>
      <c r="Y319" s="41"/>
    </row>
    <row r="320">
      <c r="V320" s="41"/>
      <c r="W320" s="41"/>
      <c r="X320" s="41"/>
      <c r="Y320" s="41"/>
    </row>
    <row r="321">
      <c r="V321" s="41"/>
      <c r="W321" s="41"/>
      <c r="X321" s="41"/>
      <c r="Y321" s="41"/>
    </row>
    <row r="322">
      <c r="V322" s="41"/>
      <c r="W322" s="41"/>
      <c r="X322" s="41"/>
      <c r="Y322" s="41"/>
    </row>
    <row r="323">
      <c r="V323" s="41"/>
      <c r="W323" s="41"/>
      <c r="X323" s="41"/>
      <c r="Y323" s="41"/>
    </row>
    <row r="324">
      <c r="V324" s="41"/>
      <c r="W324" s="41"/>
      <c r="X324" s="41"/>
      <c r="Y324" s="41"/>
    </row>
    <row r="325">
      <c r="V325" s="41"/>
      <c r="W325" s="41"/>
      <c r="X325" s="41"/>
      <c r="Y325" s="41"/>
    </row>
    <row r="326">
      <c r="V326" s="41"/>
      <c r="W326" s="41"/>
      <c r="X326" s="41"/>
      <c r="Y326" s="41"/>
    </row>
    <row r="327">
      <c r="V327" s="41"/>
      <c r="W327" s="41"/>
      <c r="X327" s="41"/>
      <c r="Y327" s="41"/>
    </row>
    <row r="328">
      <c r="V328" s="41"/>
      <c r="W328" s="41"/>
      <c r="X328" s="41"/>
      <c r="Y328" s="41"/>
    </row>
    <row r="329">
      <c r="V329" s="41"/>
      <c r="W329" s="41"/>
      <c r="X329" s="41"/>
      <c r="Y329" s="41"/>
    </row>
    <row r="330">
      <c r="V330" s="41"/>
      <c r="W330" s="41"/>
      <c r="X330" s="41"/>
      <c r="Y330" s="41"/>
    </row>
    <row r="331">
      <c r="V331" s="41"/>
      <c r="W331" s="41"/>
      <c r="X331" s="41"/>
      <c r="Y331" s="41"/>
    </row>
    <row r="332">
      <c r="V332" s="41"/>
      <c r="W332" s="41"/>
      <c r="X332" s="41"/>
      <c r="Y332" s="41"/>
    </row>
    <row r="333">
      <c r="V333" s="41"/>
      <c r="W333" s="41"/>
      <c r="X333" s="41"/>
      <c r="Y333" s="41"/>
    </row>
    <row r="334">
      <c r="V334" s="41"/>
      <c r="W334" s="41"/>
      <c r="X334" s="41"/>
      <c r="Y334" s="41"/>
    </row>
    <row r="335">
      <c r="V335" s="41"/>
      <c r="W335" s="41"/>
      <c r="X335" s="41"/>
      <c r="Y335" s="41"/>
    </row>
    <row r="336">
      <c r="V336" s="41"/>
      <c r="W336" s="41"/>
      <c r="X336" s="41"/>
      <c r="Y336" s="41"/>
    </row>
    <row r="337">
      <c r="V337" s="41"/>
      <c r="W337" s="41"/>
      <c r="X337" s="41"/>
      <c r="Y337" s="41"/>
    </row>
    <row r="338">
      <c r="V338" s="41"/>
      <c r="W338" s="41"/>
      <c r="X338" s="41"/>
      <c r="Y338" s="41"/>
    </row>
    <row r="339">
      <c r="V339" s="41"/>
      <c r="W339" s="41"/>
      <c r="X339" s="41"/>
      <c r="Y339" s="41"/>
    </row>
    <row r="340">
      <c r="V340" s="41"/>
      <c r="W340" s="41"/>
      <c r="X340" s="41"/>
      <c r="Y340" s="41"/>
    </row>
    <row r="341">
      <c r="V341" s="41"/>
      <c r="W341" s="41"/>
      <c r="X341" s="41"/>
      <c r="Y341" s="41"/>
    </row>
    <row r="342">
      <c r="V342" s="41"/>
      <c r="W342" s="41"/>
      <c r="X342" s="41"/>
      <c r="Y342" s="41"/>
    </row>
    <row r="343">
      <c r="V343" s="41"/>
      <c r="W343" s="41"/>
      <c r="X343" s="41"/>
      <c r="Y343" s="41"/>
    </row>
    <row r="344">
      <c r="V344" s="41"/>
      <c r="W344" s="41"/>
      <c r="X344" s="41"/>
      <c r="Y344" s="41"/>
    </row>
    <row r="345">
      <c r="V345" s="41"/>
      <c r="W345" s="41"/>
      <c r="X345" s="41"/>
      <c r="Y345" s="41"/>
    </row>
    <row r="346">
      <c r="V346" s="41"/>
      <c r="W346" s="41"/>
      <c r="X346" s="41"/>
      <c r="Y346" s="41"/>
    </row>
    <row r="347">
      <c r="V347" s="41"/>
      <c r="W347" s="41"/>
      <c r="X347" s="41"/>
      <c r="Y347" s="41"/>
    </row>
    <row r="348">
      <c r="V348" s="41"/>
      <c r="W348" s="41"/>
      <c r="X348" s="41"/>
      <c r="Y348" s="41"/>
    </row>
    <row r="349">
      <c r="V349" s="41"/>
      <c r="W349" s="41"/>
      <c r="X349" s="41"/>
      <c r="Y349" s="41"/>
    </row>
    <row r="350">
      <c r="V350" s="41"/>
      <c r="W350" s="41"/>
      <c r="X350" s="41"/>
      <c r="Y350" s="41"/>
    </row>
    <row r="351">
      <c r="V351" s="41"/>
      <c r="W351" s="41"/>
      <c r="X351" s="41"/>
      <c r="Y351" s="41"/>
    </row>
    <row r="352">
      <c r="V352" s="41"/>
      <c r="W352" s="41"/>
      <c r="X352" s="41"/>
      <c r="Y352" s="41"/>
    </row>
    <row r="353">
      <c r="V353" s="41"/>
      <c r="W353" s="41"/>
      <c r="X353" s="41"/>
      <c r="Y353" s="41"/>
    </row>
    <row r="354">
      <c r="V354" s="41"/>
      <c r="W354" s="41"/>
      <c r="X354" s="41"/>
      <c r="Y354" s="41"/>
    </row>
    <row r="355">
      <c r="V355" s="41"/>
      <c r="W355" s="41"/>
      <c r="X355" s="41"/>
      <c r="Y355" s="41"/>
    </row>
    <row r="356">
      <c r="V356" s="41"/>
      <c r="W356" s="41"/>
      <c r="X356" s="41"/>
      <c r="Y356" s="41"/>
    </row>
    <row r="357">
      <c r="V357" s="41"/>
      <c r="W357" s="41"/>
      <c r="X357" s="41"/>
      <c r="Y357" s="41"/>
    </row>
    <row r="358">
      <c r="V358" s="41"/>
      <c r="W358" s="41"/>
      <c r="X358" s="41"/>
      <c r="Y358" s="41"/>
    </row>
    <row r="359">
      <c r="V359" s="41"/>
      <c r="W359" s="41"/>
      <c r="X359" s="41"/>
      <c r="Y359" s="41"/>
    </row>
    <row r="360">
      <c r="V360" s="41"/>
      <c r="W360" s="41"/>
      <c r="X360" s="41"/>
      <c r="Y360" s="41"/>
    </row>
    <row r="361">
      <c r="V361" s="41"/>
      <c r="W361" s="41"/>
      <c r="X361" s="41"/>
      <c r="Y361" s="41"/>
    </row>
    <row r="362">
      <c r="V362" s="41"/>
      <c r="W362" s="41"/>
      <c r="X362" s="41"/>
      <c r="Y362" s="41"/>
    </row>
    <row r="363">
      <c r="V363" s="41"/>
      <c r="W363" s="41"/>
      <c r="X363" s="41"/>
      <c r="Y363" s="41"/>
    </row>
    <row r="364">
      <c r="V364" s="41"/>
      <c r="W364" s="41"/>
      <c r="X364" s="41"/>
      <c r="Y364" s="41"/>
    </row>
    <row r="365">
      <c r="V365" s="41"/>
      <c r="W365" s="41"/>
      <c r="X365" s="41"/>
      <c r="Y365" s="41"/>
    </row>
    <row r="366">
      <c r="V366" s="41"/>
      <c r="W366" s="41"/>
      <c r="X366" s="41"/>
      <c r="Y366" s="41"/>
    </row>
    <row r="367">
      <c r="V367" s="41"/>
      <c r="W367" s="41"/>
      <c r="X367" s="41"/>
      <c r="Y367" s="41"/>
    </row>
    <row r="368">
      <c r="V368" s="41"/>
      <c r="W368" s="41"/>
      <c r="X368" s="41"/>
      <c r="Y368" s="41"/>
    </row>
    <row r="369">
      <c r="V369" s="41"/>
      <c r="W369" s="41"/>
      <c r="X369" s="41"/>
      <c r="Y369" s="41"/>
    </row>
    <row r="370">
      <c r="V370" s="41"/>
      <c r="W370" s="41"/>
      <c r="X370" s="41"/>
      <c r="Y370" s="41"/>
    </row>
    <row r="371">
      <c r="V371" s="41"/>
      <c r="W371" s="41"/>
      <c r="X371" s="41"/>
      <c r="Y371" s="41"/>
    </row>
    <row r="372">
      <c r="V372" s="41"/>
      <c r="W372" s="41"/>
      <c r="X372" s="41"/>
      <c r="Y372" s="41"/>
    </row>
    <row r="373">
      <c r="V373" s="41"/>
      <c r="W373" s="41"/>
      <c r="X373" s="41"/>
      <c r="Y373" s="41"/>
    </row>
    <row r="374">
      <c r="V374" s="41"/>
      <c r="W374" s="41"/>
      <c r="X374" s="41"/>
      <c r="Y374" s="41"/>
    </row>
    <row r="375">
      <c r="V375" s="41"/>
      <c r="W375" s="41"/>
      <c r="X375" s="41"/>
      <c r="Y375" s="41"/>
    </row>
    <row r="376">
      <c r="V376" s="41"/>
      <c r="W376" s="41"/>
      <c r="X376" s="41"/>
      <c r="Y376" s="41"/>
    </row>
    <row r="377">
      <c r="V377" s="41"/>
      <c r="W377" s="41"/>
      <c r="X377" s="41"/>
      <c r="Y377" s="41"/>
    </row>
    <row r="378">
      <c r="V378" s="41"/>
      <c r="W378" s="41"/>
      <c r="X378" s="41"/>
      <c r="Y378" s="41"/>
    </row>
    <row r="379">
      <c r="V379" s="41"/>
      <c r="W379" s="41"/>
      <c r="X379" s="41"/>
      <c r="Y379" s="41"/>
    </row>
    <row r="380">
      <c r="V380" s="41"/>
      <c r="W380" s="41"/>
      <c r="X380" s="41"/>
      <c r="Y380" s="41"/>
    </row>
    <row r="381">
      <c r="V381" s="41"/>
      <c r="W381" s="41"/>
      <c r="X381" s="41"/>
      <c r="Y381" s="41"/>
    </row>
    <row r="382">
      <c r="V382" s="41"/>
      <c r="W382" s="41"/>
      <c r="X382" s="41"/>
      <c r="Y382" s="41"/>
    </row>
    <row r="383">
      <c r="V383" s="41"/>
      <c r="W383" s="41"/>
      <c r="X383" s="41"/>
      <c r="Y383" s="41"/>
    </row>
    <row r="384">
      <c r="V384" s="41"/>
      <c r="W384" s="41"/>
      <c r="X384" s="41"/>
      <c r="Y384" s="41"/>
    </row>
    <row r="385">
      <c r="V385" s="41"/>
      <c r="W385" s="41"/>
      <c r="X385" s="41"/>
      <c r="Y385" s="41"/>
    </row>
    <row r="386">
      <c r="V386" s="41"/>
      <c r="W386" s="41"/>
      <c r="X386" s="41"/>
      <c r="Y386" s="41"/>
    </row>
    <row r="387">
      <c r="V387" s="41"/>
      <c r="W387" s="41"/>
      <c r="X387" s="41"/>
      <c r="Y387" s="41"/>
    </row>
    <row r="388">
      <c r="V388" s="41"/>
      <c r="W388" s="41"/>
      <c r="X388" s="41"/>
      <c r="Y388" s="41"/>
    </row>
    <row r="389">
      <c r="V389" s="41"/>
      <c r="W389" s="41"/>
      <c r="X389" s="41"/>
      <c r="Y389" s="41"/>
    </row>
    <row r="390">
      <c r="V390" s="41"/>
      <c r="W390" s="41"/>
      <c r="X390" s="41"/>
      <c r="Y390" s="41"/>
    </row>
    <row r="391">
      <c r="V391" s="41"/>
      <c r="W391" s="41"/>
      <c r="X391" s="41"/>
      <c r="Y391" s="41"/>
    </row>
    <row r="392">
      <c r="V392" s="41"/>
      <c r="W392" s="41"/>
      <c r="X392" s="41"/>
      <c r="Y392" s="41"/>
    </row>
    <row r="393">
      <c r="V393" s="41"/>
      <c r="W393" s="41"/>
      <c r="X393" s="41"/>
      <c r="Y393" s="41"/>
    </row>
    <row r="394">
      <c r="V394" s="41"/>
      <c r="W394" s="41"/>
      <c r="X394" s="41"/>
      <c r="Y394" s="41"/>
    </row>
    <row r="395">
      <c r="V395" s="41"/>
      <c r="W395" s="41"/>
      <c r="X395" s="41"/>
      <c r="Y395" s="41"/>
    </row>
    <row r="396">
      <c r="V396" s="41"/>
      <c r="W396" s="41"/>
      <c r="X396" s="41"/>
      <c r="Y396" s="41"/>
    </row>
    <row r="397">
      <c r="V397" s="41"/>
      <c r="W397" s="41"/>
      <c r="X397" s="41"/>
      <c r="Y397" s="41"/>
    </row>
    <row r="398">
      <c r="V398" s="41"/>
      <c r="W398" s="41"/>
      <c r="X398" s="41"/>
      <c r="Y398" s="41"/>
    </row>
    <row r="399">
      <c r="V399" s="41"/>
      <c r="W399" s="41"/>
      <c r="X399" s="41"/>
      <c r="Y399" s="41"/>
    </row>
    <row r="400">
      <c r="V400" s="41"/>
      <c r="W400" s="41"/>
      <c r="X400" s="41"/>
      <c r="Y400" s="41"/>
    </row>
    <row r="401">
      <c r="V401" s="41"/>
      <c r="W401" s="41"/>
      <c r="X401" s="41"/>
      <c r="Y401" s="41"/>
    </row>
    <row r="402">
      <c r="V402" s="41"/>
      <c r="W402" s="41"/>
      <c r="X402" s="41"/>
      <c r="Y402" s="41"/>
    </row>
    <row r="403">
      <c r="V403" s="41"/>
      <c r="W403" s="41"/>
      <c r="X403" s="41"/>
      <c r="Y403" s="41"/>
    </row>
    <row r="404">
      <c r="V404" s="41"/>
      <c r="W404" s="41"/>
      <c r="X404" s="41"/>
      <c r="Y404" s="41"/>
    </row>
    <row r="405">
      <c r="V405" s="41"/>
      <c r="W405" s="41"/>
      <c r="X405" s="41"/>
      <c r="Y405" s="41"/>
    </row>
    <row r="406">
      <c r="V406" s="41"/>
      <c r="W406" s="41"/>
      <c r="X406" s="41"/>
      <c r="Y406" s="41"/>
    </row>
    <row r="407">
      <c r="V407" s="41"/>
      <c r="W407" s="41"/>
      <c r="X407" s="41"/>
      <c r="Y407" s="41"/>
    </row>
    <row r="408">
      <c r="V408" s="41"/>
      <c r="W408" s="41"/>
      <c r="X408" s="41"/>
      <c r="Y408" s="41"/>
    </row>
    <row r="409">
      <c r="V409" s="41"/>
      <c r="W409" s="41"/>
      <c r="X409" s="41"/>
      <c r="Y409" s="41"/>
    </row>
    <row r="410">
      <c r="V410" s="41"/>
      <c r="W410" s="41"/>
      <c r="X410" s="41"/>
      <c r="Y410" s="41"/>
    </row>
    <row r="411">
      <c r="V411" s="41"/>
      <c r="W411" s="41"/>
      <c r="X411" s="41"/>
      <c r="Y411" s="41"/>
    </row>
    <row r="412">
      <c r="V412" s="41"/>
      <c r="W412" s="41"/>
      <c r="X412" s="41"/>
      <c r="Y412" s="41"/>
    </row>
    <row r="413">
      <c r="V413" s="41"/>
      <c r="W413" s="41"/>
      <c r="X413" s="41"/>
      <c r="Y413" s="41"/>
    </row>
    <row r="414">
      <c r="V414" s="41"/>
      <c r="W414" s="41"/>
      <c r="X414" s="41"/>
      <c r="Y414" s="41"/>
    </row>
    <row r="415">
      <c r="V415" s="41"/>
      <c r="W415" s="41"/>
      <c r="X415" s="41"/>
      <c r="Y415" s="41"/>
    </row>
    <row r="416">
      <c r="V416" s="41"/>
      <c r="W416" s="41"/>
      <c r="X416" s="41"/>
      <c r="Y416" s="41"/>
    </row>
    <row r="417">
      <c r="V417" s="41"/>
      <c r="W417" s="41"/>
      <c r="X417" s="41"/>
      <c r="Y417" s="41"/>
    </row>
    <row r="418">
      <c r="V418" s="41"/>
      <c r="W418" s="41"/>
      <c r="X418" s="41"/>
      <c r="Y418" s="41"/>
    </row>
    <row r="419">
      <c r="V419" s="41"/>
      <c r="W419" s="41"/>
      <c r="X419" s="41"/>
      <c r="Y419" s="41"/>
    </row>
    <row r="420">
      <c r="V420" s="41"/>
      <c r="W420" s="41"/>
      <c r="X420" s="41"/>
      <c r="Y420" s="41"/>
    </row>
    <row r="421">
      <c r="V421" s="41"/>
      <c r="W421" s="41"/>
      <c r="X421" s="41"/>
      <c r="Y421" s="41"/>
    </row>
    <row r="422">
      <c r="V422" s="41"/>
      <c r="W422" s="41"/>
      <c r="X422" s="41"/>
      <c r="Y422" s="41"/>
    </row>
    <row r="423">
      <c r="V423" s="41"/>
      <c r="W423" s="41"/>
      <c r="X423" s="41"/>
      <c r="Y423" s="41"/>
    </row>
    <row r="424">
      <c r="V424" s="41"/>
      <c r="W424" s="41"/>
      <c r="X424" s="41"/>
      <c r="Y424" s="41"/>
    </row>
    <row r="425">
      <c r="V425" s="41"/>
      <c r="W425" s="41"/>
      <c r="X425" s="41"/>
      <c r="Y425" s="41"/>
    </row>
    <row r="426">
      <c r="V426" s="41"/>
      <c r="W426" s="41"/>
      <c r="X426" s="41"/>
      <c r="Y426" s="41"/>
    </row>
    <row r="427">
      <c r="V427" s="41"/>
      <c r="W427" s="41"/>
      <c r="X427" s="41"/>
      <c r="Y427" s="41"/>
    </row>
    <row r="428">
      <c r="V428" s="41"/>
      <c r="W428" s="41"/>
      <c r="X428" s="41"/>
      <c r="Y428" s="41"/>
    </row>
    <row r="429">
      <c r="V429" s="41"/>
      <c r="W429" s="41"/>
      <c r="X429" s="41"/>
      <c r="Y429" s="41"/>
    </row>
    <row r="430">
      <c r="V430" s="41"/>
      <c r="W430" s="41"/>
      <c r="X430" s="41"/>
      <c r="Y430" s="41"/>
    </row>
    <row r="431">
      <c r="V431" s="41"/>
      <c r="W431" s="41"/>
      <c r="X431" s="41"/>
      <c r="Y431" s="41"/>
    </row>
    <row r="432">
      <c r="V432" s="41"/>
      <c r="W432" s="41"/>
      <c r="X432" s="41"/>
      <c r="Y432" s="41"/>
    </row>
    <row r="433">
      <c r="V433" s="41"/>
      <c r="W433" s="41"/>
      <c r="X433" s="41"/>
      <c r="Y433" s="41"/>
    </row>
    <row r="434">
      <c r="V434" s="41"/>
      <c r="W434" s="41"/>
      <c r="X434" s="41"/>
      <c r="Y434" s="41"/>
    </row>
    <row r="435">
      <c r="V435" s="41"/>
      <c r="W435" s="41"/>
      <c r="X435" s="41"/>
      <c r="Y435" s="41"/>
    </row>
    <row r="436">
      <c r="V436" s="41"/>
      <c r="W436" s="41"/>
      <c r="X436" s="41"/>
      <c r="Y436" s="41"/>
    </row>
    <row r="437">
      <c r="V437" s="41"/>
      <c r="W437" s="41"/>
      <c r="X437" s="41"/>
      <c r="Y437" s="41"/>
    </row>
    <row r="438">
      <c r="V438" s="41"/>
      <c r="W438" s="41"/>
      <c r="X438" s="41"/>
      <c r="Y438" s="41"/>
    </row>
    <row r="439">
      <c r="V439" s="41"/>
      <c r="W439" s="41"/>
      <c r="X439" s="41"/>
      <c r="Y439" s="41"/>
    </row>
    <row r="440">
      <c r="V440" s="41"/>
      <c r="W440" s="41"/>
      <c r="X440" s="41"/>
      <c r="Y440" s="41"/>
    </row>
    <row r="441">
      <c r="V441" s="41"/>
      <c r="W441" s="41"/>
      <c r="X441" s="41"/>
      <c r="Y441" s="41"/>
    </row>
    <row r="442">
      <c r="V442" s="41"/>
      <c r="W442" s="41"/>
      <c r="X442" s="41"/>
      <c r="Y442" s="41"/>
    </row>
    <row r="443">
      <c r="V443" s="41"/>
      <c r="W443" s="41"/>
      <c r="X443" s="41"/>
      <c r="Y443" s="41"/>
    </row>
    <row r="444">
      <c r="V444" s="41"/>
      <c r="W444" s="41"/>
      <c r="X444" s="41"/>
      <c r="Y444" s="41"/>
    </row>
    <row r="445">
      <c r="V445" s="41"/>
      <c r="W445" s="41"/>
      <c r="X445" s="41"/>
      <c r="Y445" s="41"/>
    </row>
    <row r="446">
      <c r="V446" s="41"/>
      <c r="W446" s="41"/>
      <c r="X446" s="41"/>
      <c r="Y446" s="41"/>
    </row>
    <row r="447">
      <c r="V447" s="41"/>
      <c r="W447" s="41"/>
      <c r="X447" s="41"/>
      <c r="Y447" s="41"/>
    </row>
    <row r="448">
      <c r="V448" s="41"/>
      <c r="W448" s="41"/>
      <c r="X448" s="41"/>
      <c r="Y448" s="41"/>
    </row>
    <row r="449">
      <c r="V449" s="41"/>
      <c r="W449" s="41"/>
      <c r="X449" s="41"/>
      <c r="Y449" s="41"/>
    </row>
    <row r="450">
      <c r="V450" s="41"/>
      <c r="W450" s="41"/>
      <c r="X450" s="41"/>
      <c r="Y450" s="41"/>
    </row>
    <row r="451">
      <c r="V451" s="41"/>
      <c r="W451" s="41"/>
      <c r="X451" s="41"/>
      <c r="Y451" s="41"/>
    </row>
    <row r="452">
      <c r="V452" s="41"/>
      <c r="W452" s="41"/>
      <c r="X452" s="41"/>
      <c r="Y452" s="41"/>
    </row>
    <row r="453">
      <c r="V453" s="41"/>
      <c r="W453" s="41"/>
      <c r="X453" s="41"/>
      <c r="Y453" s="41"/>
    </row>
    <row r="454">
      <c r="V454" s="41"/>
      <c r="W454" s="41"/>
      <c r="X454" s="41"/>
      <c r="Y454" s="41"/>
    </row>
    <row r="455">
      <c r="V455" s="41"/>
      <c r="W455" s="41"/>
      <c r="X455" s="41"/>
      <c r="Y455" s="41"/>
    </row>
    <row r="456">
      <c r="V456" s="41"/>
      <c r="W456" s="41"/>
      <c r="X456" s="41"/>
      <c r="Y456" s="41"/>
    </row>
    <row r="457">
      <c r="V457" s="41"/>
      <c r="W457" s="41"/>
      <c r="X457" s="41"/>
      <c r="Y457" s="41"/>
    </row>
    <row r="458">
      <c r="V458" s="41"/>
      <c r="W458" s="41"/>
      <c r="X458" s="41"/>
      <c r="Y458" s="41"/>
    </row>
    <row r="459">
      <c r="V459" s="41"/>
      <c r="W459" s="41"/>
      <c r="X459" s="41"/>
      <c r="Y459" s="41"/>
    </row>
    <row r="460">
      <c r="V460" s="41"/>
      <c r="W460" s="41"/>
      <c r="X460" s="41"/>
      <c r="Y460" s="41"/>
    </row>
    <row r="461">
      <c r="V461" s="41"/>
      <c r="W461" s="41"/>
      <c r="X461" s="41"/>
      <c r="Y461" s="41"/>
    </row>
    <row r="462">
      <c r="V462" s="41"/>
      <c r="W462" s="41"/>
      <c r="X462" s="41"/>
      <c r="Y462" s="41"/>
    </row>
    <row r="463">
      <c r="V463" s="41"/>
      <c r="W463" s="41"/>
      <c r="X463" s="41"/>
      <c r="Y463" s="41"/>
    </row>
    <row r="464">
      <c r="V464" s="41"/>
      <c r="W464" s="41"/>
      <c r="X464" s="41"/>
      <c r="Y464" s="41"/>
    </row>
    <row r="465">
      <c r="V465" s="41"/>
      <c r="W465" s="41"/>
      <c r="X465" s="41"/>
      <c r="Y465" s="41"/>
    </row>
    <row r="466">
      <c r="V466" s="41"/>
      <c r="W466" s="41"/>
      <c r="X466" s="41"/>
      <c r="Y466" s="41"/>
    </row>
    <row r="467">
      <c r="V467" s="41"/>
      <c r="W467" s="41"/>
      <c r="X467" s="41"/>
      <c r="Y467" s="41"/>
    </row>
    <row r="468">
      <c r="V468" s="41"/>
      <c r="W468" s="41"/>
      <c r="X468" s="41"/>
      <c r="Y468" s="41"/>
    </row>
    <row r="469">
      <c r="V469" s="41"/>
      <c r="W469" s="41"/>
      <c r="X469" s="41"/>
      <c r="Y469" s="41"/>
    </row>
    <row r="470">
      <c r="V470" s="41"/>
      <c r="W470" s="41"/>
      <c r="X470" s="41"/>
      <c r="Y470" s="41"/>
    </row>
    <row r="471">
      <c r="V471" s="41"/>
      <c r="W471" s="41"/>
      <c r="X471" s="41"/>
      <c r="Y471" s="41"/>
    </row>
    <row r="472">
      <c r="V472" s="41"/>
      <c r="W472" s="41"/>
      <c r="X472" s="41"/>
      <c r="Y472" s="41"/>
    </row>
    <row r="473">
      <c r="V473" s="41"/>
      <c r="W473" s="41"/>
      <c r="X473" s="41"/>
      <c r="Y473" s="41"/>
    </row>
    <row r="474">
      <c r="V474" s="41"/>
      <c r="W474" s="41"/>
      <c r="X474" s="41"/>
      <c r="Y474" s="41"/>
    </row>
    <row r="475">
      <c r="V475" s="41"/>
      <c r="W475" s="41"/>
      <c r="X475" s="41"/>
      <c r="Y475" s="41"/>
    </row>
    <row r="476">
      <c r="V476" s="41"/>
      <c r="W476" s="41"/>
      <c r="X476" s="41"/>
      <c r="Y476" s="41"/>
    </row>
    <row r="477">
      <c r="V477" s="41"/>
      <c r="W477" s="41"/>
      <c r="X477" s="41"/>
      <c r="Y477" s="41"/>
    </row>
    <row r="478">
      <c r="V478" s="41"/>
      <c r="W478" s="41"/>
      <c r="X478" s="41"/>
      <c r="Y478" s="41"/>
    </row>
    <row r="479">
      <c r="V479" s="41"/>
      <c r="W479" s="41"/>
      <c r="X479" s="41"/>
      <c r="Y479" s="41"/>
    </row>
    <row r="480">
      <c r="V480" s="41"/>
      <c r="W480" s="41"/>
      <c r="X480" s="41"/>
      <c r="Y480" s="41"/>
    </row>
    <row r="481">
      <c r="V481" s="41"/>
      <c r="W481" s="41"/>
      <c r="X481" s="41"/>
      <c r="Y481" s="41"/>
    </row>
    <row r="482">
      <c r="V482" s="41"/>
      <c r="W482" s="41"/>
      <c r="X482" s="41"/>
      <c r="Y482" s="41"/>
    </row>
    <row r="483">
      <c r="V483" s="41"/>
      <c r="W483" s="41"/>
      <c r="X483" s="41"/>
      <c r="Y483" s="41"/>
    </row>
    <row r="484">
      <c r="V484" s="41"/>
      <c r="W484" s="41"/>
      <c r="X484" s="41"/>
      <c r="Y484" s="41"/>
    </row>
    <row r="485">
      <c r="V485" s="41"/>
      <c r="W485" s="41"/>
      <c r="X485" s="41"/>
      <c r="Y485" s="41"/>
    </row>
    <row r="486">
      <c r="V486" s="41"/>
      <c r="W486" s="41"/>
      <c r="X486" s="41"/>
      <c r="Y486" s="41"/>
    </row>
    <row r="487">
      <c r="V487" s="41"/>
      <c r="W487" s="41"/>
      <c r="X487" s="41"/>
      <c r="Y487" s="41"/>
    </row>
    <row r="488">
      <c r="V488" s="41"/>
      <c r="W488" s="41"/>
      <c r="X488" s="41"/>
      <c r="Y488" s="41"/>
    </row>
    <row r="489">
      <c r="V489" s="41"/>
      <c r="W489" s="41"/>
      <c r="X489" s="41"/>
      <c r="Y489" s="41"/>
    </row>
    <row r="490">
      <c r="V490" s="41"/>
      <c r="W490" s="41"/>
      <c r="X490" s="41"/>
      <c r="Y490" s="41"/>
    </row>
    <row r="491">
      <c r="V491" s="41"/>
      <c r="W491" s="41"/>
      <c r="X491" s="41"/>
      <c r="Y491" s="41"/>
    </row>
    <row r="492">
      <c r="V492" s="41"/>
      <c r="W492" s="41"/>
      <c r="X492" s="41"/>
      <c r="Y492" s="41"/>
    </row>
    <row r="493">
      <c r="V493" s="41"/>
      <c r="W493" s="41"/>
      <c r="X493" s="41"/>
      <c r="Y493" s="41"/>
    </row>
    <row r="494">
      <c r="V494" s="41"/>
      <c r="W494" s="41"/>
      <c r="X494" s="41"/>
      <c r="Y494" s="41"/>
    </row>
    <row r="495">
      <c r="V495" s="41"/>
      <c r="W495" s="41"/>
      <c r="X495" s="41"/>
      <c r="Y495" s="41"/>
    </row>
    <row r="496">
      <c r="V496" s="41"/>
      <c r="W496" s="41"/>
      <c r="X496" s="41"/>
      <c r="Y496" s="41"/>
    </row>
    <row r="497">
      <c r="V497" s="41"/>
      <c r="W497" s="41"/>
      <c r="X497" s="41"/>
      <c r="Y497" s="41"/>
    </row>
    <row r="498">
      <c r="V498" s="41"/>
      <c r="W498" s="41"/>
      <c r="X498" s="41"/>
      <c r="Y498" s="41"/>
    </row>
    <row r="499">
      <c r="V499" s="41"/>
      <c r="W499" s="41"/>
      <c r="X499" s="41"/>
      <c r="Y499" s="41"/>
    </row>
    <row r="500">
      <c r="V500" s="41"/>
      <c r="W500" s="41"/>
      <c r="X500" s="41"/>
      <c r="Y500" s="41"/>
    </row>
    <row r="501">
      <c r="V501" s="41"/>
      <c r="W501" s="41"/>
      <c r="X501" s="41"/>
      <c r="Y501" s="41"/>
    </row>
    <row r="502">
      <c r="V502" s="41"/>
      <c r="W502" s="41"/>
      <c r="X502" s="41"/>
      <c r="Y502" s="41"/>
    </row>
    <row r="503">
      <c r="V503" s="41"/>
      <c r="W503" s="41"/>
      <c r="X503" s="41"/>
      <c r="Y503" s="41"/>
    </row>
    <row r="504">
      <c r="V504" s="41"/>
      <c r="W504" s="41"/>
      <c r="X504" s="41"/>
      <c r="Y504" s="41"/>
    </row>
    <row r="505">
      <c r="V505" s="41"/>
      <c r="W505" s="41"/>
      <c r="X505" s="41"/>
      <c r="Y505" s="41"/>
    </row>
    <row r="506">
      <c r="V506" s="41"/>
      <c r="W506" s="41"/>
      <c r="X506" s="41"/>
      <c r="Y506" s="41"/>
    </row>
    <row r="507">
      <c r="V507" s="41"/>
      <c r="W507" s="41"/>
      <c r="X507" s="41"/>
      <c r="Y507" s="41"/>
    </row>
    <row r="508">
      <c r="V508" s="41"/>
      <c r="W508" s="41"/>
      <c r="X508" s="41"/>
      <c r="Y508" s="41"/>
    </row>
    <row r="509">
      <c r="V509" s="41"/>
      <c r="W509" s="41"/>
      <c r="X509" s="41"/>
      <c r="Y509" s="41"/>
    </row>
    <row r="510">
      <c r="V510" s="41"/>
      <c r="W510" s="41"/>
      <c r="X510" s="41"/>
      <c r="Y510" s="41"/>
    </row>
    <row r="511">
      <c r="V511" s="41"/>
      <c r="W511" s="41"/>
      <c r="X511" s="41"/>
      <c r="Y511" s="41"/>
    </row>
    <row r="512">
      <c r="V512" s="41"/>
      <c r="W512" s="41"/>
      <c r="X512" s="41"/>
      <c r="Y512" s="41"/>
    </row>
    <row r="513">
      <c r="V513" s="41"/>
      <c r="W513" s="41"/>
      <c r="X513" s="41"/>
      <c r="Y513" s="41"/>
    </row>
    <row r="514">
      <c r="V514" s="41"/>
      <c r="W514" s="41"/>
      <c r="X514" s="41"/>
      <c r="Y514" s="41"/>
    </row>
    <row r="515">
      <c r="V515" s="41"/>
      <c r="W515" s="41"/>
      <c r="X515" s="41"/>
      <c r="Y515" s="41"/>
    </row>
    <row r="516">
      <c r="V516" s="41"/>
      <c r="W516" s="41"/>
      <c r="X516" s="41"/>
      <c r="Y516" s="41"/>
    </row>
    <row r="517">
      <c r="V517" s="41"/>
      <c r="W517" s="41"/>
      <c r="X517" s="41"/>
      <c r="Y517" s="41"/>
    </row>
    <row r="518">
      <c r="V518" s="41"/>
      <c r="W518" s="41"/>
      <c r="X518" s="41"/>
      <c r="Y518" s="41"/>
    </row>
    <row r="519">
      <c r="V519" s="41"/>
      <c r="W519" s="41"/>
      <c r="X519" s="41"/>
      <c r="Y519" s="41"/>
    </row>
    <row r="520">
      <c r="V520" s="41"/>
      <c r="W520" s="41"/>
      <c r="X520" s="41"/>
      <c r="Y520" s="41"/>
    </row>
    <row r="521">
      <c r="V521" s="41"/>
      <c r="W521" s="41"/>
      <c r="X521" s="41"/>
      <c r="Y521" s="41"/>
    </row>
    <row r="522">
      <c r="V522" s="41"/>
      <c r="W522" s="41"/>
      <c r="X522" s="41"/>
      <c r="Y522" s="41"/>
    </row>
    <row r="523">
      <c r="V523" s="41"/>
      <c r="W523" s="41"/>
      <c r="X523" s="41"/>
      <c r="Y523" s="41"/>
    </row>
    <row r="524">
      <c r="V524" s="41"/>
      <c r="W524" s="41"/>
      <c r="X524" s="41"/>
      <c r="Y524" s="41"/>
    </row>
    <row r="525">
      <c r="V525" s="41"/>
      <c r="W525" s="41"/>
      <c r="X525" s="41"/>
      <c r="Y525" s="41"/>
    </row>
    <row r="526">
      <c r="V526" s="41"/>
      <c r="W526" s="41"/>
      <c r="X526" s="41"/>
      <c r="Y526" s="41"/>
    </row>
    <row r="527">
      <c r="V527" s="41"/>
      <c r="W527" s="41"/>
      <c r="X527" s="41"/>
      <c r="Y527" s="41"/>
    </row>
    <row r="528">
      <c r="V528" s="41"/>
      <c r="W528" s="41"/>
      <c r="X528" s="41"/>
      <c r="Y528" s="41"/>
    </row>
    <row r="529">
      <c r="V529" s="41"/>
      <c r="W529" s="41"/>
      <c r="X529" s="41"/>
      <c r="Y529" s="41"/>
    </row>
    <row r="530">
      <c r="V530" s="41"/>
      <c r="W530" s="41"/>
      <c r="X530" s="41"/>
      <c r="Y530" s="41"/>
    </row>
    <row r="531">
      <c r="V531" s="41"/>
      <c r="W531" s="41"/>
      <c r="X531" s="41"/>
      <c r="Y531" s="41"/>
    </row>
    <row r="532">
      <c r="V532" s="41"/>
      <c r="W532" s="41"/>
      <c r="X532" s="41"/>
      <c r="Y532" s="41"/>
    </row>
    <row r="533">
      <c r="V533" s="41"/>
      <c r="W533" s="41"/>
      <c r="X533" s="41"/>
      <c r="Y533" s="41"/>
    </row>
    <row r="534">
      <c r="V534" s="41"/>
      <c r="W534" s="41"/>
      <c r="X534" s="41"/>
      <c r="Y534" s="41"/>
    </row>
    <row r="535">
      <c r="V535" s="41"/>
      <c r="W535" s="41"/>
      <c r="X535" s="41"/>
      <c r="Y535" s="41"/>
    </row>
    <row r="536">
      <c r="V536" s="41"/>
      <c r="W536" s="41"/>
      <c r="X536" s="41"/>
      <c r="Y536" s="41"/>
    </row>
    <row r="537">
      <c r="V537" s="41"/>
      <c r="W537" s="41"/>
      <c r="X537" s="41"/>
      <c r="Y537" s="41"/>
    </row>
    <row r="538">
      <c r="V538" s="41"/>
      <c r="W538" s="41"/>
      <c r="X538" s="41"/>
      <c r="Y538" s="41"/>
    </row>
    <row r="539">
      <c r="V539" s="41"/>
      <c r="W539" s="41"/>
      <c r="X539" s="41"/>
      <c r="Y539" s="41"/>
    </row>
    <row r="540">
      <c r="V540" s="41"/>
      <c r="W540" s="41"/>
      <c r="X540" s="41"/>
      <c r="Y540" s="41"/>
    </row>
    <row r="541">
      <c r="V541" s="41"/>
      <c r="W541" s="41"/>
      <c r="X541" s="41"/>
      <c r="Y541" s="41"/>
    </row>
    <row r="542">
      <c r="V542" s="41"/>
      <c r="W542" s="41"/>
      <c r="X542" s="41"/>
      <c r="Y542" s="41"/>
    </row>
    <row r="543">
      <c r="V543" s="41"/>
      <c r="W543" s="41"/>
      <c r="X543" s="41"/>
      <c r="Y543" s="41"/>
    </row>
    <row r="544">
      <c r="V544" s="41"/>
      <c r="W544" s="41"/>
      <c r="X544" s="41"/>
      <c r="Y544" s="41"/>
    </row>
    <row r="545">
      <c r="V545" s="41"/>
      <c r="W545" s="41"/>
      <c r="X545" s="41"/>
      <c r="Y545" s="41"/>
    </row>
    <row r="546">
      <c r="V546" s="41"/>
      <c r="W546" s="41"/>
      <c r="X546" s="41"/>
      <c r="Y546" s="41"/>
    </row>
    <row r="547">
      <c r="V547" s="41"/>
      <c r="W547" s="41"/>
      <c r="X547" s="41"/>
      <c r="Y547" s="41"/>
    </row>
    <row r="548">
      <c r="V548" s="41"/>
      <c r="W548" s="41"/>
      <c r="X548" s="41"/>
      <c r="Y548" s="41"/>
    </row>
    <row r="549">
      <c r="V549" s="41"/>
      <c r="W549" s="41"/>
      <c r="X549" s="41"/>
      <c r="Y549" s="41"/>
    </row>
    <row r="550">
      <c r="V550" s="41"/>
      <c r="W550" s="41"/>
      <c r="X550" s="41"/>
      <c r="Y550" s="41"/>
    </row>
    <row r="551">
      <c r="V551" s="41"/>
      <c r="W551" s="41"/>
      <c r="X551" s="41"/>
      <c r="Y551" s="41"/>
    </row>
    <row r="552">
      <c r="V552" s="41"/>
      <c r="W552" s="41"/>
      <c r="X552" s="41"/>
      <c r="Y552" s="41"/>
    </row>
    <row r="553">
      <c r="V553" s="41"/>
      <c r="W553" s="41"/>
      <c r="X553" s="41"/>
      <c r="Y553" s="41"/>
    </row>
    <row r="554">
      <c r="V554" s="41"/>
      <c r="W554" s="41"/>
      <c r="X554" s="41"/>
      <c r="Y554" s="41"/>
    </row>
    <row r="555">
      <c r="V555" s="41"/>
      <c r="W555" s="41"/>
      <c r="X555" s="41"/>
      <c r="Y555" s="41"/>
    </row>
    <row r="556">
      <c r="V556" s="41"/>
      <c r="W556" s="41"/>
      <c r="X556" s="41"/>
      <c r="Y556" s="41"/>
    </row>
    <row r="557">
      <c r="V557" s="41"/>
      <c r="W557" s="41"/>
      <c r="X557" s="41"/>
      <c r="Y557" s="41"/>
    </row>
    <row r="558">
      <c r="V558" s="41"/>
      <c r="W558" s="41"/>
      <c r="X558" s="41"/>
      <c r="Y558" s="41"/>
    </row>
    <row r="559">
      <c r="V559" s="41"/>
      <c r="W559" s="41"/>
      <c r="X559" s="41"/>
      <c r="Y559" s="41"/>
    </row>
    <row r="560">
      <c r="V560" s="41"/>
      <c r="W560" s="41"/>
      <c r="X560" s="41"/>
      <c r="Y560" s="41"/>
    </row>
    <row r="561">
      <c r="V561" s="41"/>
      <c r="W561" s="41"/>
      <c r="X561" s="41"/>
      <c r="Y561" s="41"/>
    </row>
    <row r="562">
      <c r="V562" s="41"/>
      <c r="W562" s="41"/>
      <c r="X562" s="41"/>
      <c r="Y562" s="41"/>
    </row>
    <row r="563">
      <c r="V563" s="41"/>
      <c r="W563" s="41"/>
      <c r="X563" s="41"/>
      <c r="Y563" s="41"/>
    </row>
    <row r="564">
      <c r="V564" s="41"/>
      <c r="W564" s="41"/>
      <c r="X564" s="41"/>
      <c r="Y564" s="41"/>
    </row>
    <row r="565">
      <c r="V565" s="41"/>
      <c r="W565" s="41"/>
      <c r="X565" s="41"/>
      <c r="Y565" s="41"/>
    </row>
    <row r="566">
      <c r="V566" s="41"/>
      <c r="W566" s="41"/>
      <c r="X566" s="41"/>
      <c r="Y566" s="41"/>
    </row>
    <row r="567">
      <c r="V567" s="41"/>
      <c r="W567" s="41"/>
      <c r="X567" s="41"/>
      <c r="Y567" s="41"/>
    </row>
    <row r="568">
      <c r="V568" s="41"/>
      <c r="W568" s="41"/>
      <c r="X568" s="41"/>
      <c r="Y568" s="41"/>
    </row>
    <row r="569">
      <c r="V569" s="41"/>
      <c r="W569" s="41"/>
      <c r="X569" s="41"/>
      <c r="Y569" s="41"/>
    </row>
    <row r="570">
      <c r="V570" s="41"/>
      <c r="W570" s="41"/>
      <c r="X570" s="41"/>
      <c r="Y570" s="41"/>
    </row>
    <row r="571">
      <c r="V571" s="41"/>
      <c r="W571" s="41"/>
      <c r="X571" s="41"/>
      <c r="Y571" s="41"/>
    </row>
    <row r="572">
      <c r="V572" s="41"/>
      <c r="W572" s="41"/>
      <c r="X572" s="41"/>
      <c r="Y572" s="41"/>
    </row>
    <row r="573">
      <c r="V573" s="41"/>
      <c r="W573" s="41"/>
      <c r="X573" s="41"/>
      <c r="Y573" s="41"/>
    </row>
    <row r="574">
      <c r="V574" s="41"/>
      <c r="W574" s="41"/>
      <c r="X574" s="41"/>
      <c r="Y574" s="41"/>
    </row>
    <row r="575">
      <c r="V575" s="41"/>
      <c r="W575" s="41"/>
      <c r="X575" s="41"/>
      <c r="Y575" s="41"/>
    </row>
    <row r="576">
      <c r="V576" s="41"/>
      <c r="W576" s="41"/>
      <c r="X576" s="41"/>
      <c r="Y576" s="41"/>
    </row>
    <row r="577">
      <c r="V577" s="41"/>
      <c r="W577" s="41"/>
      <c r="X577" s="41"/>
      <c r="Y577" s="41"/>
    </row>
    <row r="578">
      <c r="V578" s="41"/>
      <c r="W578" s="41"/>
      <c r="X578" s="41"/>
      <c r="Y578" s="41"/>
    </row>
    <row r="579">
      <c r="V579" s="41"/>
      <c r="W579" s="41"/>
      <c r="X579" s="41"/>
      <c r="Y579" s="41"/>
    </row>
    <row r="580">
      <c r="V580" s="41"/>
      <c r="W580" s="41"/>
      <c r="X580" s="41"/>
      <c r="Y580" s="41"/>
    </row>
    <row r="581">
      <c r="V581" s="41"/>
      <c r="W581" s="41"/>
      <c r="X581" s="41"/>
      <c r="Y581" s="41"/>
    </row>
    <row r="582">
      <c r="V582" s="41"/>
      <c r="W582" s="41"/>
      <c r="X582" s="41"/>
      <c r="Y582" s="41"/>
    </row>
    <row r="583">
      <c r="V583" s="41"/>
      <c r="W583" s="41"/>
      <c r="X583" s="41"/>
      <c r="Y583" s="41"/>
    </row>
    <row r="584">
      <c r="V584" s="41"/>
      <c r="W584" s="41"/>
      <c r="X584" s="41"/>
      <c r="Y584" s="41"/>
    </row>
    <row r="585">
      <c r="V585" s="41"/>
      <c r="W585" s="41"/>
      <c r="X585" s="41"/>
      <c r="Y585" s="41"/>
    </row>
    <row r="586">
      <c r="V586" s="41"/>
      <c r="W586" s="41"/>
      <c r="X586" s="41"/>
      <c r="Y586" s="41"/>
    </row>
    <row r="587">
      <c r="V587" s="41"/>
      <c r="W587" s="41"/>
      <c r="X587" s="41"/>
      <c r="Y587" s="41"/>
    </row>
    <row r="588">
      <c r="V588" s="41"/>
      <c r="W588" s="41"/>
      <c r="X588" s="41"/>
      <c r="Y588" s="41"/>
    </row>
    <row r="589">
      <c r="V589" s="41"/>
      <c r="W589" s="41"/>
      <c r="X589" s="41"/>
      <c r="Y589" s="41"/>
    </row>
    <row r="590">
      <c r="V590" s="41"/>
      <c r="W590" s="41"/>
      <c r="X590" s="41"/>
      <c r="Y590" s="41"/>
    </row>
    <row r="591">
      <c r="V591" s="41"/>
      <c r="W591" s="41"/>
      <c r="X591" s="41"/>
      <c r="Y591" s="41"/>
    </row>
    <row r="592">
      <c r="V592" s="41"/>
      <c r="W592" s="41"/>
      <c r="X592" s="41"/>
      <c r="Y592" s="41"/>
    </row>
    <row r="593">
      <c r="V593" s="41"/>
      <c r="W593" s="41"/>
      <c r="X593" s="41"/>
      <c r="Y593" s="41"/>
    </row>
    <row r="594">
      <c r="V594" s="41"/>
      <c r="W594" s="41"/>
      <c r="X594" s="41"/>
      <c r="Y594" s="41"/>
    </row>
    <row r="595">
      <c r="V595" s="41"/>
      <c r="W595" s="41"/>
      <c r="X595" s="41"/>
      <c r="Y595" s="41"/>
    </row>
    <row r="596">
      <c r="V596" s="41"/>
      <c r="W596" s="41"/>
      <c r="X596" s="41"/>
      <c r="Y596" s="41"/>
    </row>
    <row r="597">
      <c r="V597" s="41"/>
      <c r="W597" s="41"/>
      <c r="X597" s="41"/>
      <c r="Y597" s="41"/>
    </row>
    <row r="598">
      <c r="V598" s="41"/>
      <c r="W598" s="41"/>
      <c r="X598" s="41"/>
      <c r="Y598" s="41"/>
    </row>
    <row r="599">
      <c r="V599" s="41"/>
      <c r="W599" s="41"/>
      <c r="X599" s="41"/>
      <c r="Y599" s="41"/>
    </row>
    <row r="600">
      <c r="V600" s="41"/>
      <c r="W600" s="41"/>
      <c r="X600" s="41"/>
      <c r="Y600" s="41"/>
    </row>
    <row r="601">
      <c r="V601" s="41"/>
      <c r="W601" s="41"/>
      <c r="X601" s="41"/>
      <c r="Y601" s="41"/>
    </row>
    <row r="602">
      <c r="V602" s="41"/>
      <c r="W602" s="41"/>
      <c r="X602" s="41"/>
      <c r="Y602" s="41"/>
    </row>
    <row r="603">
      <c r="V603" s="41"/>
      <c r="W603" s="41"/>
      <c r="X603" s="41"/>
      <c r="Y603" s="41"/>
    </row>
    <row r="604">
      <c r="V604" s="41"/>
      <c r="W604" s="41"/>
      <c r="X604" s="41"/>
      <c r="Y604" s="41"/>
    </row>
    <row r="605">
      <c r="V605" s="41"/>
      <c r="W605" s="41"/>
      <c r="X605" s="41"/>
      <c r="Y605" s="41"/>
    </row>
    <row r="606">
      <c r="V606" s="41"/>
      <c r="W606" s="41"/>
      <c r="X606" s="41"/>
      <c r="Y606" s="41"/>
    </row>
    <row r="607">
      <c r="V607" s="41"/>
      <c r="W607" s="41"/>
      <c r="X607" s="41"/>
      <c r="Y607" s="41"/>
    </row>
    <row r="608">
      <c r="V608" s="41"/>
      <c r="W608" s="41"/>
      <c r="X608" s="41"/>
      <c r="Y608" s="41"/>
    </row>
    <row r="609">
      <c r="V609" s="41"/>
      <c r="W609" s="41"/>
      <c r="X609" s="41"/>
      <c r="Y609" s="41"/>
    </row>
    <row r="610">
      <c r="V610" s="41"/>
      <c r="W610" s="41"/>
      <c r="X610" s="41"/>
      <c r="Y610" s="41"/>
    </row>
    <row r="611">
      <c r="V611" s="41"/>
      <c r="W611" s="41"/>
      <c r="X611" s="41"/>
      <c r="Y611" s="41"/>
    </row>
    <row r="612">
      <c r="V612" s="41"/>
      <c r="W612" s="41"/>
      <c r="X612" s="41"/>
      <c r="Y612" s="41"/>
    </row>
    <row r="613">
      <c r="V613" s="41"/>
      <c r="W613" s="41"/>
      <c r="X613" s="41"/>
      <c r="Y613" s="41"/>
    </row>
    <row r="614">
      <c r="V614" s="41"/>
      <c r="W614" s="41"/>
      <c r="X614" s="41"/>
      <c r="Y614" s="41"/>
    </row>
    <row r="615">
      <c r="V615" s="41"/>
      <c r="W615" s="41"/>
      <c r="X615" s="41"/>
      <c r="Y615" s="41"/>
    </row>
    <row r="616">
      <c r="V616" s="41"/>
      <c r="W616" s="41"/>
      <c r="X616" s="41"/>
      <c r="Y616" s="41"/>
    </row>
    <row r="617">
      <c r="V617" s="41"/>
      <c r="W617" s="41"/>
      <c r="X617" s="41"/>
      <c r="Y617" s="41"/>
    </row>
    <row r="618">
      <c r="V618" s="41"/>
      <c r="W618" s="41"/>
      <c r="X618" s="41"/>
      <c r="Y618" s="41"/>
    </row>
    <row r="619">
      <c r="V619" s="41"/>
      <c r="W619" s="41"/>
      <c r="X619" s="41"/>
      <c r="Y619" s="41"/>
    </row>
    <row r="620">
      <c r="V620" s="41"/>
      <c r="W620" s="41"/>
      <c r="X620" s="41"/>
      <c r="Y620" s="41"/>
    </row>
    <row r="621">
      <c r="V621" s="41"/>
      <c r="W621" s="41"/>
      <c r="X621" s="41"/>
      <c r="Y621" s="41"/>
    </row>
    <row r="622">
      <c r="V622" s="41"/>
      <c r="W622" s="41"/>
      <c r="X622" s="41"/>
      <c r="Y622" s="41"/>
    </row>
    <row r="623">
      <c r="V623" s="41"/>
      <c r="W623" s="41"/>
      <c r="X623" s="41"/>
      <c r="Y623" s="41"/>
    </row>
    <row r="624">
      <c r="V624" s="41"/>
      <c r="W624" s="41"/>
      <c r="X624" s="41"/>
      <c r="Y624" s="41"/>
    </row>
    <row r="625">
      <c r="V625" s="41"/>
      <c r="W625" s="41"/>
      <c r="X625" s="41"/>
      <c r="Y625" s="41"/>
    </row>
    <row r="626">
      <c r="V626" s="41"/>
      <c r="W626" s="41"/>
      <c r="X626" s="41"/>
      <c r="Y626" s="41"/>
    </row>
    <row r="627">
      <c r="V627" s="41"/>
      <c r="W627" s="41"/>
      <c r="X627" s="41"/>
      <c r="Y627" s="41"/>
    </row>
    <row r="628">
      <c r="V628" s="41"/>
      <c r="W628" s="41"/>
      <c r="X628" s="41"/>
      <c r="Y628" s="41"/>
    </row>
    <row r="629">
      <c r="V629" s="41"/>
      <c r="W629" s="41"/>
      <c r="X629" s="41"/>
      <c r="Y629" s="41"/>
    </row>
    <row r="630">
      <c r="V630" s="41"/>
      <c r="W630" s="41"/>
      <c r="X630" s="41"/>
      <c r="Y630" s="41"/>
    </row>
    <row r="631">
      <c r="V631" s="41"/>
      <c r="W631" s="41"/>
      <c r="X631" s="41"/>
      <c r="Y631" s="41"/>
    </row>
    <row r="632">
      <c r="V632" s="41"/>
      <c r="W632" s="41"/>
      <c r="X632" s="41"/>
      <c r="Y632" s="41"/>
    </row>
    <row r="633">
      <c r="V633" s="41"/>
      <c r="W633" s="41"/>
      <c r="X633" s="41"/>
      <c r="Y633" s="41"/>
    </row>
    <row r="634">
      <c r="V634" s="41"/>
      <c r="W634" s="41"/>
      <c r="X634" s="41"/>
      <c r="Y634" s="41"/>
    </row>
    <row r="635">
      <c r="V635" s="41"/>
      <c r="W635" s="41"/>
      <c r="X635" s="41"/>
      <c r="Y635" s="41"/>
    </row>
    <row r="636">
      <c r="V636" s="41"/>
      <c r="W636" s="41"/>
      <c r="X636" s="41"/>
      <c r="Y636" s="41"/>
    </row>
    <row r="637">
      <c r="V637" s="41"/>
      <c r="W637" s="41"/>
      <c r="X637" s="41"/>
      <c r="Y637" s="41"/>
    </row>
    <row r="638">
      <c r="V638" s="41"/>
      <c r="W638" s="41"/>
      <c r="X638" s="41"/>
      <c r="Y638" s="41"/>
    </row>
    <row r="639">
      <c r="V639" s="41"/>
      <c r="W639" s="41"/>
      <c r="X639" s="41"/>
      <c r="Y639" s="41"/>
    </row>
    <row r="640">
      <c r="V640" s="41"/>
      <c r="W640" s="41"/>
      <c r="X640" s="41"/>
      <c r="Y640" s="41"/>
    </row>
    <row r="641">
      <c r="V641" s="41"/>
      <c r="W641" s="41"/>
      <c r="X641" s="41"/>
      <c r="Y641" s="41"/>
    </row>
    <row r="642">
      <c r="V642" s="41"/>
      <c r="W642" s="41"/>
      <c r="X642" s="41"/>
      <c r="Y642" s="41"/>
    </row>
    <row r="643">
      <c r="V643" s="41"/>
      <c r="W643" s="41"/>
      <c r="X643" s="41"/>
      <c r="Y643" s="41"/>
    </row>
    <row r="644">
      <c r="V644" s="41"/>
      <c r="W644" s="41"/>
      <c r="X644" s="41"/>
      <c r="Y644" s="41"/>
    </row>
    <row r="645">
      <c r="V645" s="41"/>
      <c r="W645" s="41"/>
      <c r="X645" s="41"/>
      <c r="Y645" s="41"/>
    </row>
    <row r="646">
      <c r="V646" s="41"/>
      <c r="W646" s="41"/>
      <c r="X646" s="41"/>
      <c r="Y646" s="41"/>
    </row>
    <row r="647">
      <c r="V647" s="41"/>
      <c r="W647" s="41"/>
      <c r="X647" s="41"/>
      <c r="Y647" s="41"/>
    </row>
    <row r="648">
      <c r="V648" s="41"/>
      <c r="W648" s="41"/>
      <c r="X648" s="41"/>
      <c r="Y648" s="41"/>
    </row>
    <row r="649">
      <c r="V649" s="41"/>
      <c r="W649" s="41"/>
      <c r="X649" s="41"/>
      <c r="Y649" s="41"/>
    </row>
    <row r="650">
      <c r="V650" s="41"/>
      <c r="W650" s="41"/>
      <c r="X650" s="41"/>
      <c r="Y650" s="41"/>
    </row>
    <row r="651">
      <c r="V651" s="41"/>
      <c r="W651" s="41"/>
      <c r="X651" s="41"/>
      <c r="Y651" s="41"/>
    </row>
    <row r="652">
      <c r="V652" s="41"/>
      <c r="W652" s="41"/>
      <c r="X652" s="41"/>
      <c r="Y652" s="41"/>
    </row>
    <row r="653">
      <c r="V653" s="41"/>
      <c r="W653" s="41"/>
      <c r="X653" s="41"/>
      <c r="Y653" s="41"/>
    </row>
    <row r="654">
      <c r="V654" s="41"/>
      <c r="W654" s="41"/>
      <c r="X654" s="41"/>
      <c r="Y654" s="41"/>
    </row>
    <row r="655">
      <c r="V655" s="41"/>
      <c r="W655" s="41"/>
      <c r="X655" s="41"/>
      <c r="Y655" s="41"/>
    </row>
    <row r="656">
      <c r="V656" s="41"/>
      <c r="W656" s="41"/>
      <c r="X656" s="41"/>
      <c r="Y656" s="41"/>
    </row>
    <row r="657">
      <c r="V657" s="41"/>
      <c r="W657" s="41"/>
      <c r="X657" s="41"/>
      <c r="Y657" s="41"/>
    </row>
    <row r="658">
      <c r="V658" s="41"/>
      <c r="W658" s="41"/>
      <c r="X658" s="41"/>
      <c r="Y658" s="41"/>
    </row>
    <row r="659">
      <c r="V659" s="41"/>
      <c r="W659" s="41"/>
      <c r="X659" s="41"/>
      <c r="Y659" s="41"/>
    </row>
    <row r="660">
      <c r="V660" s="41"/>
      <c r="W660" s="41"/>
      <c r="X660" s="41"/>
      <c r="Y660" s="41"/>
    </row>
    <row r="661">
      <c r="V661" s="41"/>
      <c r="W661" s="41"/>
      <c r="X661" s="41"/>
      <c r="Y661" s="41"/>
    </row>
    <row r="662">
      <c r="V662" s="41"/>
      <c r="W662" s="41"/>
      <c r="X662" s="41"/>
      <c r="Y662" s="41"/>
    </row>
    <row r="663">
      <c r="V663" s="41"/>
      <c r="W663" s="41"/>
      <c r="X663" s="41"/>
      <c r="Y663" s="41"/>
    </row>
    <row r="664">
      <c r="V664" s="41"/>
      <c r="W664" s="41"/>
      <c r="X664" s="41"/>
      <c r="Y664" s="41"/>
    </row>
    <row r="665">
      <c r="V665" s="41"/>
      <c r="W665" s="41"/>
      <c r="X665" s="41"/>
      <c r="Y665" s="41"/>
    </row>
    <row r="666">
      <c r="V666" s="41"/>
      <c r="W666" s="41"/>
      <c r="X666" s="41"/>
      <c r="Y666" s="41"/>
    </row>
    <row r="667">
      <c r="V667" s="41"/>
      <c r="W667" s="41"/>
      <c r="X667" s="41"/>
      <c r="Y667" s="41"/>
    </row>
    <row r="668">
      <c r="V668" s="41"/>
      <c r="W668" s="41"/>
      <c r="X668" s="41"/>
      <c r="Y668" s="41"/>
    </row>
    <row r="669">
      <c r="V669" s="41"/>
      <c r="W669" s="41"/>
      <c r="X669" s="41"/>
      <c r="Y669" s="41"/>
    </row>
    <row r="670">
      <c r="V670" s="41"/>
      <c r="W670" s="41"/>
      <c r="X670" s="41"/>
      <c r="Y670" s="41"/>
    </row>
    <row r="671">
      <c r="V671" s="41"/>
      <c r="W671" s="41"/>
      <c r="X671" s="41"/>
      <c r="Y671" s="41"/>
    </row>
    <row r="672">
      <c r="V672" s="41"/>
      <c r="W672" s="41"/>
      <c r="X672" s="41"/>
      <c r="Y672" s="41"/>
    </row>
    <row r="673">
      <c r="V673" s="41"/>
      <c r="W673" s="41"/>
      <c r="X673" s="41"/>
      <c r="Y673" s="41"/>
    </row>
    <row r="674">
      <c r="V674" s="41"/>
      <c r="W674" s="41"/>
      <c r="X674" s="41"/>
      <c r="Y674" s="41"/>
    </row>
    <row r="675">
      <c r="V675" s="41"/>
      <c r="W675" s="41"/>
      <c r="X675" s="41"/>
      <c r="Y675" s="41"/>
    </row>
    <row r="676">
      <c r="V676" s="41"/>
      <c r="W676" s="41"/>
      <c r="X676" s="41"/>
      <c r="Y676" s="41"/>
    </row>
    <row r="677">
      <c r="V677" s="41"/>
      <c r="W677" s="41"/>
      <c r="X677" s="41"/>
      <c r="Y677" s="41"/>
    </row>
    <row r="678">
      <c r="V678" s="41"/>
      <c r="W678" s="41"/>
      <c r="X678" s="41"/>
      <c r="Y678" s="41"/>
    </row>
    <row r="679">
      <c r="V679" s="41"/>
      <c r="W679" s="41"/>
      <c r="X679" s="41"/>
      <c r="Y679" s="41"/>
    </row>
    <row r="680">
      <c r="V680" s="41"/>
      <c r="W680" s="41"/>
      <c r="X680" s="41"/>
      <c r="Y680" s="41"/>
    </row>
    <row r="681">
      <c r="V681" s="41"/>
      <c r="W681" s="41"/>
      <c r="X681" s="41"/>
      <c r="Y681" s="41"/>
    </row>
    <row r="682">
      <c r="V682" s="41"/>
      <c r="W682" s="41"/>
      <c r="X682" s="41"/>
      <c r="Y682" s="41"/>
    </row>
    <row r="683">
      <c r="V683" s="41"/>
      <c r="W683" s="41"/>
      <c r="X683" s="41"/>
      <c r="Y683" s="41"/>
    </row>
    <row r="684">
      <c r="V684" s="41"/>
      <c r="W684" s="41"/>
      <c r="X684" s="41"/>
      <c r="Y684" s="41"/>
    </row>
    <row r="685">
      <c r="V685" s="41"/>
      <c r="W685" s="41"/>
      <c r="X685" s="41"/>
      <c r="Y685" s="41"/>
    </row>
    <row r="686">
      <c r="V686" s="41"/>
      <c r="W686" s="41"/>
      <c r="X686" s="41"/>
      <c r="Y686" s="41"/>
    </row>
    <row r="687">
      <c r="V687" s="41"/>
      <c r="W687" s="41"/>
      <c r="X687" s="41"/>
      <c r="Y687" s="41"/>
    </row>
    <row r="688">
      <c r="V688" s="41"/>
      <c r="W688" s="41"/>
      <c r="X688" s="41"/>
      <c r="Y688" s="41"/>
    </row>
    <row r="689">
      <c r="V689" s="41"/>
      <c r="W689" s="41"/>
      <c r="X689" s="41"/>
      <c r="Y689" s="41"/>
    </row>
    <row r="690">
      <c r="V690" s="41"/>
      <c r="W690" s="41"/>
      <c r="X690" s="41"/>
      <c r="Y690" s="41"/>
    </row>
    <row r="691">
      <c r="V691" s="41"/>
      <c r="W691" s="41"/>
      <c r="X691" s="41"/>
      <c r="Y691" s="41"/>
    </row>
    <row r="692">
      <c r="V692" s="41"/>
      <c r="W692" s="41"/>
      <c r="X692" s="41"/>
      <c r="Y692" s="41"/>
    </row>
    <row r="693">
      <c r="V693" s="41"/>
      <c r="W693" s="41"/>
      <c r="X693" s="41"/>
      <c r="Y693" s="41"/>
    </row>
    <row r="694">
      <c r="V694" s="41"/>
      <c r="W694" s="41"/>
      <c r="X694" s="41"/>
      <c r="Y694" s="41"/>
    </row>
    <row r="695">
      <c r="V695" s="41"/>
      <c r="W695" s="41"/>
      <c r="X695" s="41"/>
      <c r="Y695" s="41"/>
    </row>
    <row r="696">
      <c r="V696" s="41"/>
      <c r="W696" s="41"/>
      <c r="X696" s="41"/>
      <c r="Y696" s="41"/>
    </row>
    <row r="697">
      <c r="V697" s="41"/>
      <c r="W697" s="41"/>
      <c r="X697" s="41"/>
      <c r="Y697" s="41"/>
    </row>
    <row r="698">
      <c r="V698" s="41"/>
      <c r="W698" s="41"/>
      <c r="X698" s="41"/>
      <c r="Y698" s="41"/>
    </row>
    <row r="699">
      <c r="V699" s="41"/>
      <c r="W699" s="41"/>
      <c r="X699" s="41"/>
      <c r="Y699" s="41"/>
    </row>
    <row r="700">
      <c r="V700" s="41"/>
      <c r="W700" s="41"/>
      <c r="X700" s="41"/>
      <c r="Y700" s="41"/>
    </row>
    <row r="701">
      <c r="V701" s="41"/>
      <c r="W701" s="41"/>
      <c r="X701" s="41"/>
      <c r="Y701" s="41"/>
    </row>
    <row r="702">
      <c r="V702" s="41"/>
      <c r="W702" s="41"/>
      <c r="X702" s="41"/>
      <c r="Y702" s="41"/>
    </row>
    <row r="703">
      <c r="V703" s="41"/>
      <c r="W703" s="41"/>
      <c r="X703" s="41"/>
      <c r="Y703" s="41"/>
    </row>
    <row r="704">
      <c r="V704" s="41"/>
      <c r="W704" s="41"/>
      <c r="X704" s="41"/>
      <c r="Y704" s="41"/>
    </row>
    <row r="705">
      <c r="V705" s="41"/>
      <c r="W705" s="41"/>
      <c r="X705" s="41"/>
      <c r="Y705" s="41"/>
    </row>
    <row r="706">
      <c r="V706" s="41"/>
      <c r="W706" s="41"/>
      <c r="X706" s="41"/>
      <c r="Y706" s="41"/>
    </row>
    <row r="707">
      <c r="V707" s="41"/>
      <c r="W707" s="41"/>
      <c r="X707" s="41"/>
      <c r="Y707" s="41"/>
    </row>
    <row r="708">
      <c r="V708" s="41"/>
      <c r="W708" s="41"/>
      <c r="X708" s="41"/>
      <c r="Y708" s="41"/>
    </row>
    <row r="709">
      <c r="V709" s="41"/>
      <c r="W709" s="41"/>
      <c r="X709" s="41"/>
      <c r="Y709" s="41"/>
    </row>
    <row r="710">
      <c r="V710" s="41"/>
      <c r="W710" s="41"/>
      <c r="X710" s="41"/>
      <c r="Y710" s="41"/>
    </row>
    <row r="711">
      <c r="V711" s="41"/>
      <c r="W711" s="41"/>
      <c r="X711" s="41"/>
      <c r="Y711" s="41"/>
    </row>
    <row r="712">
      <c r="V712" s="41"/>
      <c r="W712" s="41"/>
      <c r="X712" s="41"/>
      <c r="Y712" s="41"/>
    </row>
    <row r="713">
      <c r="V713" s="41"/>
      <c r="W713" s="41"/>
      <c r="X713" s="41"/>
      <c r="Y713" s="41"/>
    </row>
    <row r="714">
      <c r="V714" s="41"/>
      <c r="W714" s="41"/>
      <c r="X714" s="41"/>
      <c r="Y714" s="41"/>
    </row>
    <row r="715">
      <c r="V715" s="41"/>
      <c r="W715" s="41"/>
      <c r="X715" s="41"/>
      <c r="Y715" s="41"/>
    </row>
    <row r="716">
      <c r="V716" s="41"/>
      <c r="W716" s="41"/>
      <c r="X716" s="41"/>
      <c r="Y716" s="41"/>
    </row>
    <row r="717">
      <c r="V717" s="41"/>
      <c r="W717" s="41"/>
      <c r="X717" s="41"/>
      <c r="Y717" s="41"/>
    </row>
    <row r="718">
      <c r="V718" s="41"/>
      <c r="W718" s="41"/>
      <c r="X718" s="41"/>
      <c r="Y718" s="41"/>
    </row>
    <row r="719">
      <c r="V719" s="41"/>
      <c r="W719" s="41"/>
      <c r="X719" s="41"/>
      <c r="Y719" s="41"/>
    </row>
    <row r="720">
      <c r="V720" s="41"/>
      <c r="W720" s="41"/>
      <c r="X720" s="41"/>
      <c r="Y720" s="41"/>
    </row>
    <row r="721">
      <c r="V721" s="41"/>
      <c r="W721" s="41"/>
      <c r="X721" s="41"/>
      <c r="Y721" s="41"/>
    </row>
    <row r="722">
      <c r="V722" s="41"/>
      <c r="W722" s="41"/>
      <c r="X722" s="41"/>
      <c r="Y722" s="41"/>
    </row>
    <row r="723">
      <c r="V723" s="41"/>
      <c r="W723" s="41"/>
      <c r="X723" s="41"/>
      <c r="Y723" s="41"/>
    </row>
    <row r="724">
      <c r="V724" s="41"/>
      <c r="W724" s="41"/>
      <c r="X724" s="41"/>
      <c r="Y724" s="41"/>
    </row>
    <row r="725">
      <c r="V725" s="41"/>
      <c r="W725" s="41"/>
      <c r="X725" s="41"/>
      <c r="Y725" s="41"/>
    </row>
    <row r="726">
      <c r="V726" s="41"/>
      <c r="W726" s="41"/>
      <c r="X726" s="41"/>
      <c r="Y726" s="41"/>
    </row>
    <row r="727">
      <c r="V727" s="41"/>
      <c r="W727" s="41"/>
      <c r="X727" s="41"/>
      <c r="Y727" s="41"/>
    </row>
    <row r="728">
      <c r="V728" s="41"/>
      <c r="W728" s="41"/>
      <c r="X728" s="41"/>
      <c r="Y728" s="41"/>
    </row>
    <row r="729">
      <c r="V729" s="41"/>
      <c r="W729" s="41"/>
      <c r="X729" s="41"/>
      <c r="Y729" s="41"/>
    </row>
    <row r="730">
      <c r="V730" s="41"/>
      <c r="W730" s="41"/>
      <c r="X730" s="41"/>
      <c r="Y730" s="41"/>
    </row>
    <row r="731">
      <c r="V731" s="41"/>
      <c r="W731" s="41"/>
      <c r="X731" s="41"/>
      <c r="Y731" s="41"/>
    </row>
    <row r="732">
      <c r="V732" s="41"/>
      <c r="W732" s="41"/>
      <c r="X732" s="41"/>
      <c r="Y732" s="41"/>
    </row>
    <row r="733">
      <c r="V733" s="41"/>
      <c r="W733" s="41"/>
      <c r="X733" s="41"/>
      <c r="Y733" s="41"/>
    </row>
    <row r="734">
      <c r="V734" s="41"/>
      <c r="W734" s="41"/>
      <c r="X734" s="41"/>
      <c r="Y734" s="41"/>
    </row>
    <row r="735">
      <c r="V735" s="41"/>
      <c r="W735" s="41"/>
      <c r="X735" s="41"/>
      <c r="Y735" s="41"/>
    </row>
    <row r="736">
      <c r="V736" s="41"/>
      <c r="W736" s="41"/>
      <c r="X736" s="41"/>
      <c r="Y736" s="41"/>
    </row>
    <row r="737">
      <c r="V737" s="41"/>
      <c r="W737" s="41"/>
      <c r="X737" s="41"/>
      <c r="Y737" s="41"/>
    </row>
    <row r="738">
      <c r="V738" s="41"/>
      <c r="W738" s="41"/>
      <c r="X738" s="41"/>
      <c r="Y738" s="41"/>
    </row>
    <row r="739">
      <c r="V739" s="41"/>
      <c r="W739" s="41"/>
      <c r="X739" s="41"/>
      <c r="Y739" s="41"/>
    </row>
    <row r="740">
      <c r="V740" s="41"/>
      <c r="W740" s="41"/>
      <c r="X740" s="41"/>
      <c r="Y740" s="41"/>
    </row>
    <row r="741">
      <c r="V741" s="41"/>
      <c r="W741" s="41"/>
      <c r="X741" s="41"/>
      <c r="Y741" s="41"/>
    </row>
    <row r="742">
      <c r="V742" s="41"/>
      <c r="W742" s="41"/>
      <c r="X742" s="41"/>
      <c r="Y742" s="41"/>
    </row>
    <row r="743">
      <c r="V743" s="41"/>
      <c r="W743" s="41"/>
      <c r="X743" s="41"/>
      <c r="Y743" s="41"/>
    </row>
    <row r="744">
      <c r="V744" s="41"/>
      <c r="W744" s="41"/>
      <c r="X744" s="41"/>
      <c r="Y744" s="41"/>
    </row>
    <row r="745">
      <c r="V745" s="41"/>
      <c r="W745" s="41"/>
      <c r="X745" s="41"/>
      <c r="Y745" s="41"/>
    </row>
    <row r="746">
      <c r="V746" s="41"/>
      <c r="W746" s="41"/>
      <c r="X746" s="41"/>
      <c r="Y746" s="41"/>
    </row>
    <row r="747">
      <c r="V747" s="41"/>
      <c r="W747" s="41"/>
      <c r="X747" s="41"/>
      <c r="Y747" s="41"/>
    </row>
    <row r="748">
      <c r="V748" s="41"/>
      <c r="W748" s="41"/>
      <c r="X748" s="41"/>
      <c r="Y748" s="41"/>
    </row>
    <row r="749">
      <c r="V749" s="41"/>
      <c r="W749" s="41"/>
      <c r="X749" s="41"/>
      <c r="Y749" s="41"/>
    </row>
    <row r="750">
      <c r="V750" s="41"/>
      <c r="W750" s="41"/>
      <c r="X750" s="41"/>
      <c r="Y750" s="41"/>
    </row>
    <row r="751">
      <c r="V751" s="41"/>
      <c r="W751" s="41"/>
      <c r="X751" s="41"/>
      <c r="Y751" s="41"/>
    </row>
    <row r="752">
      <c r="V752" s="41"/>
      <c r="W752" s="41"/>
      <c r="X752" s="41"/>
      <c r="Y752" s="41"/>
    </row>
    <row r="753">
      <c r="V753" s="41"/>
      <c r="W753" s="41"/>
      <c r="X753" s="41"/>
      <c r="Y753" s="41"/>
    </row>
    <row r="754">
      <c r="V754" s="41"/>
      <c r="W754" s="41"/>
      <c r="X754" s="41"/>
      <c r="Y754" s="41"/>
    </row>
    <row r="755">
      <c r="V755" s="41"/>
      <c r="W755" s="41"/>
      <c r="X755" s="41"/>
      <c r="Y755" s="41"/>
    </row>
    <row r="756">
      <c r="V756" s="41"/>
      <c r="W756" s="41"/>
      <c r="X756" s="41"/>
      <c r="Y756" s="41"/>
    </row>
    <row r="757">
      <c r="V757" s="41"/>
      <c r="W757" s="41"/>
      <c r="X757" s="41"/>
      <c r="Y757" s="41"/>
    </row>
    <row r="758">
      <c r="V758" s="41"/>
      <c r="W758" s="41"/>
      <c r="X758" s="41"/>
      <c r="Y758" s="41"/>
    </row>
    <row r="759">
      <c r="V759" s="41"/>
      <c r="W759" s="41"/>
      <c r="X759" s="41"/>
      <c r="Y759" s="41"/>
    </row>
    <row r="760">
      <c r="V760" s="41"/>
      <c r="W760" s="41"/>
      <c r="X760" s="41"/>
      <c r="Y760" s="41"/>
    </row>
    <row r="761">
      <c r="V761" s="41"/>
      <c r="W761" s="41"/>
      <c r="X761" s="41"/>
      <c r="Y761" s="41"/>
    </row>
    <row r="762">
      <c r="V762" s="41"/>
      <c r="W762" s="41"/>
      <c r="X762" s="41"/>
      <c r="Y762" s="41"/>
    </row>
    <row r="763">
      <c r="V763" s="41"/>
      <c r="W763" s="41"/>
      <c r="X763" s="41"/>
      <c r="Y763" s="41"/>
    </row>
    <row r="764">
      <c r="V764" s="41"/>
      <c r="W764" s="41"/>
      <c r="X764" s="41"/>
      <c r="Y764" s="41"/>
    </row>
    <row r="765">
      <c r="V765" s="41"/>
      <c r="W765" s="41"/>
      <c r="X765" s="41"/>
      <c r="Y765" s="41"/>
    </row>
    <row r="766">
      <c r="V766" s="41"/>
      <c r="W766" s="41"/>
      <c r="X766" s="41"/>
      <c r="Y766" s="41"/>
    </row>
    <row r="767">
      <c r="V767" s="41"/>
      <c r="W767" s="41"/>
      <c r="X767" s="41"/>
      <c r="Y767" s="41"/>
    </row>
    <row r="768">
      <c r="V768" s="41"/>
      <c r="W768" s="41"/>
      <c r="X768" s="41"/>
      <c r="Y768" s="41"/>
    </row>
    <row r="769">
      <c r="V769" s="41"/>
      <c r="W769" s="41"/>
      <c r="X769" s="41"/>
      <c r="Y769" s="41"/>
    </row>
    <row r="770">
      <c r="V770" s="41"/>
      <c r="W770" s="41"/>
      <c r="X770" s="41"/>
      <c r="Y770" s="41"/>
    </row>
    <row r="771">
      <c r="V771" s="41"/>
      <c r="W771" s="41"/>
      <c r="X771" s="41"/>
      <c r="Y771" s="41"/>
    </row>
    <row r="772">
      <c r="V772" s="41"/>
      <c r="W772" s="41"/>
      <c r="X772" s="41"/>
      <c r="Y772" s="41"/>
    </row>
    <row r="773">
      <c r="V773" s="41"/>
      <c r="W773" s="41"/>
      <c r="X773" s="41"/>
      <c r="Y773" s="41"/>
    </row>
    <row r="774">
      <c r="V774" s="41"/>
      <c r="W774" s="41"/>
      <c r="X774" s="41"/>
      <c r="Y774" s="41"/>
    </row>
    <row r="775">
      <c r="V775" s="41"/>
      <c r="W775" s="41"/>
      <c r="X775" s="41"/>
      <c r="Y775" s="41"/>
    </row>
    <row r="776">
      <c r="V776" s="41"/>
      <c r="W776" s="41"/>
      <c r="X776" s="41"/>
      <c r="Y776" s="41"/>
    </row>
    <row r="777">
      <c r="V777" s="41"/>
      <c r="W777" s="41"/>
      <c r="X777" s="41"/>
      <c r="Y777" s="41"/>
    </row>
    <row r="778">
      <c r="V778" s="41"/>
      <c r="W778" s="41"/>
      <c r="X778" s="41"/>
      <c r="Y778" s="41"/>
    </row>
    <row r="779">
      <c r="V779" s="41"/>
      <c r="W779" s="41"/>
      <c r="X779" s="41"/>
      <c r="Y779" s="41"/>
    </row>
    <row r="780">
      <c r="V780" s="41"/>
      <c r="W780" s="41"/>
      <c r="X780" s="41"/>
      <c r="Y780" s="41"/>
    </row>
    <row r="781">
      <c r="V781" s="41"/>
      <c r="W781" s="41"/>
      <c r="X781" s="41"/>
      <c r="Y781" s="41"/>
    </row>
    <row r="782">
      <c r="V782" s="41"/>
      <c r="W782" s="41"/>
      <c r="X782" s="41"/>
      <c r="Y782" s="41"/>
    </row>
    <row r="783">
      <c r="V783" s="41"/>
      <c r="W783" s="41"/>
      <c r="X783" s="41"/>
      <c r="Y783" s="41"/>
    </row>
    <row r="784">
      <c r="V784" s="41"/>
      <c r="W784" s="41"/>
      <c r="X784" s="41"/>
      <c r="Y784" s="41"/>
    </row>
    <row r="785">
      <c r="V785" s="41"/>
      <c r="W785" s="41"/>
      <c r="X785" s="41"/>
      <c r="Y785" s="41"/>
    </row>
    <row r="786">
      <c r="V786" s="41"/>
      <c r="W786" s="41"/>
      <c r="X786" s="41"/>
      <c r="Y786" s="41"/>
    </row>
    <row r="787">
      <c r="V787" s="41"/>
      <c r="W787" s="41"/>
      <c r="X787" s="41"/>
      <c r="Y787" s="41"/>
    </row>
    <row r="788">
      <c r="V788" s="41"/>
      <c r="W788" s="41"/>
      <c r="X788" s="41"/>
      <c r="Y788" s="41"/>
    </row>
    <row r="789">
      <c r="V789" s="41"/>
      <c r="W789" s="41"/>
      <c r="X789" s="41"/>
      <c r="Y789" s="41"/>
    </row>
    <row r="790">
      <c r="V790" s="41"/>
      <c r="W790" s="41"/>
      <c r="X790" s="41"/>
      <c r="Y790" s="41"/>
    </row>
    <row r="791">
      <c r="V791" s="41"/>
      <c r="W791" s="41"/>
      <c r="X791" s="41"/>
      <c r="Y791" s="41"/>
    </row>
    <row r="792">
      <c r="V792" s="41"/>
      <c r="W792" s="41"/>
      <c r="X792" s="41"/>
      <c r="Y792" s="41"/>
    </row>
    <row r="793">
      <c r="V793" s="41"/>
      <c r="W793" s="41"/>
      <c r="X793" s="41"/>
      <c r="Y793" s="41"/>
    </row>
    <row r="794">
      <c r="V794" s="41"/>
      <c r="W794" s="41"/>
      <c r="X794" s="41"/>
      <c r="Y794" s="41"/>
    </row>
    <row r="795">
      <c r="V795" s="41"/>
      <c r="W795" s="41"/>
      <c r="X795" s="41"/>
      <c r="Y795" s="41"/>
    </row>
    <row r="796">
      <c r="V796" s="41"/>
      <c r="W796" s="41"/>
      <c r="X796" s="41"/>
      <c r="Y796" s="41"/>
    </row>
    <row r="797">
      <c r="V797" s="41"/>
      <c r="W797" s="41"/>
      <c r="X797" s="41"/>
      <c r="Y797" s="41"/>
    </row>
    <row r="798">
      <c r="V798" s="41"/>
      <c r="W798" s="41"/>
      <c r="X798" s="41"/>
      <c r="Y798" s="41"/>
    </row>
    <row r="799">
      <c r="V799" s="41"/>
      <c r="W799" s="41"/>
      <c r="X799" s="41"/>
      <c r="Y799" s="41"/>
    </row>
    <row r="800">
      <c r="V800" s="41"/>
      <c r="W800" s="41"/>
      <c r="X800" s="41"/>
      <c r="Y800" s="41"/>
    </row>
    <row r="801">
      <c r="V801" s="41"/>
      <c r="W801" s="41"/>
      <c r="X801" s="41"/>
      <c r="Y801" s="41"/>
    </row>
    <row r="802">
      <c r="V802" s="41"/>
      <c r="W802" s="41"/>
      <c r="X802" s="41"/>
      <c r="Y802" s="41"/>
    </row>
    <row r="803">
      <c r="V803" s="41"/>
      <c r="W803" s="41"/>
      <c r="X803" s="41"/>
      <c r="Y803" s="41"/>
    </row>
    <row r="804">
      <c r="V804" s="41"/>
      <c r="W804" s="41"/>
      <c r="X804" s="41"/>
      <c r="Y804" s="41"/>
    </row>
    <row r="805">
      <c r="V805" s="41"/>
      <c r="W805" s="41"/>
      <c r="X805" s="41"/>
      <c r="Y805" s="41"/>
    </row>
    <row r="806">
      <c r="V806" s="41"/>
      <c r="W806" s="41"/>
      <c r="X806" s="41"/>
      <c r="Y806" s="41"/>
    </row>
    <row r="807">
      <c r="V807" s="41"/>
      <c r="W807" s="41"/>
      <c r="X807" s="41"/>
      <c r="Y807" s="41"/>
    </row>
    <row r="808">
      <c r="V808" s="41"/>
      <c r="W808" s="41"/>
      <c r="X808" s="41"/>
      <c r="Y808" s="41"/>
    </row>
    <row r="809">
      <c r="V809" s="41"/>
      <c r="W809" s="41"/>
      <c r="X809" s="41"/>
      <c r="Y809" s="41"/>
    </row>
    <row r="810">
      <c r="V810" s="41"/>
      <c r="W810" s="41"/>
      <c r="X810" s="41"/>
      <c r="Y810" s="41"/>
    </row>
    <row r="811">
      <c r="V811" s="41"/>
      <c r="W811" s="41"/>
      <c r="X811" s="41"/>
      <c r="Y811" s="41"/>
    </row>
    <row r="812">
      <c r="V812" s="41"/>
      <c r="W812" s="41"/>
      <c r="X812" s="41"/>
      <c r="Y812" s="41"/>
    </row>
    <row r="813">
      <c r="V813" s="41"/>
      <c r="W813" s="41"/>
      <c r="X813" s="41"/>
      <c r="Y813" s="41"/>
    </row>
    <row r="814">
      <c r="V814" s="41"/>
      <c r="W814" s="41"/>
      <c r="X814" s="41"/>
      <c r="Y814" s="41"/>
    </row>
    <row r="815">
      <c r="V815" s="41"/>
      <c r="W815" s="41"/>
      <c r="X815" s="41"/>
      <c r="Y815" s="41"/>
    </row>
    <row r="816">
      <c r="V816" s="41"/>
      <c r="W816" s="41"/>
      <c r="X816" s="41"/>
      <c r="Y816" s="41"/>
    </row>
    <row r="817">
      <c r="V817" s="41"/>
      <c r="W817" s="41"/>
      <c r="X817" s="41"/>
      <c r="Y817" s="41"/>
    </row>
    <row r="818">
      <c r="V818" s="41"/>
      <c r="W818" s="41"/>
      <c r="X818" s="41"/>
      <c r="Y818" s="41"/>
    </row>
    <row r="819">
      <c r="V819" s="41"/>
      <c r="W819" s="41"/>
      <c r="X819" s="41"/>
      <c r="Y819" s="41"/>
    </row>
    <row r="820">
      <c r="V820" s="41"/>
      <c r="W820" s="41"/>
      <c r="X820" s="41"/>
      <c r="Y820" s="41"/>
    </row>
    <row r="821">
      <c r="V821" s="41"/>
      <c r="W821" s="41"/>
      <c r="X821" s="41"/>
      <c r="Y821" s="41"/>
    </row>
    <row r="822">
      <c r="V822" s="41"/>
      <c r="W822" s="41"/>
      <c r="X822" s="41"/>
      <c r="Y822" s="41"/>
    </row>
    <row r="823">
      <c r="V823" s="41"/>
      <c r="W823" s="41"/>
      <c r="X823" s="41"/>
      <c r="Y823" s="41"/>
    </row>
    <row r="824">
      <c r="V824" s="41"/>
      <c r="W824" s="41"/>
      <c r="X824" s="41"/>
      <c r="Y824" s="41"/>
    </row>
    <row r="825">
      <c r="V825" s="41"/>
      <c r="W825" s="41"/>
      <c r="X825" s="41"/>
      <c r="Y825" s="41"/>
    </row>
    <row r="826">
      <c r="V826" s="41"/>
      <c r="W826" s="41"/>
      <c r="X826" s="41"/>
      <c r="Y826" s="41"/>
    </row>
    <row r="827">
      <c r="V827" s="41"/>
      <c r="W827" s="41"/>
      <c r="X827" s="41"/>
      <c r="Y827" s="41"/>
    </row>
    <row r="828">
      <c r="V828" s="41"/>
      <c r="W828" s="41"/>
      <c r="X828" s="41"/>
      <c r="Y828" s="41"/>
    </row>
    <row r="829">
      <c r="V829" s="41"/>
      <c r="W829" s="41"/>
      <c r="X829" s="41"/>
      <c r="Y829" s="41"/>
    </row>
    <row r="830">
      <c r="V830" s="41"/>
      <c r="W830" s="41"/>
      <c r="X830" s="41"/>
      <c r="Y830" s="41"/>
    </row>
    <row r="831">
      <c r="V831" s="41"/>
      <c r="W831" s="41"/>
      <c r="X831" s="41"/>
      <c r="Y831" s="41"/>
    </row>
    <row r="832">
      <c r="V832" s="41"/>
      <c r="W832" s="41"/>
      <c r="X832" s="41"/>
      <c r="Y832" s="41"/>
    </row>
    <row r="833">
      <c r="V833" s="41"/>
      <c r="W833" s="41"/>
      <c r="X833" s="41"/>
      <c r="Y833" s="41"/>
    </row>
    <row r="834">
      <c r="V834" s="41"/>
      <c r="W834" s="41"/>
      <c r="X834" s="41"/>
      <c r="Y834" s="41"/>
    </row>
    <row r="835">
      <c r="V835" s="41"/>
      <c r="W835" s="41"/>
      <c r="X835" s="41"/>
      <c r="Y835" s="41"/>
    </row>
    <row r="836">
      <c r="V836" s="41"/>
      <c r="W836" s="41"/>
      <c r="X836" s="41"/>
      <c r="Y836" s="41"/>
    </row>
    <row r="837">
      <c r="V837" s="41"/>
      <c r="W837" s="41"/>
      <c r="X837" s="41"/>
      <c r="Y837" s="41"/>
    </row>
    <row r="838">
      <c r="V838" s="41"/>
      <c r="W838" s="41"/>
      <c r="X838" s="41"/>
      <c r="Y838" s="41"/>
    </row>
    <row r="839">
      <c r="V839" s="41"/>
      <c r="W839" s="41"/>
      <c r="X839" s="41"/>
      <c r="Y839" s="41"/>
    </row>
    <row r="840">
      <c r="V840" s="41"/>
      <c r="W840" s="41"/>
      <c r="X840" s="41"/>
      <c r="Y840" s="41"/>
    </row>
    <row r="841">
      <c r="V841" s="41"/>
      <c r="W841" s="41"/>
      <c r="X841" s="41"/>
      <c r="Y841" s="41"/>
    </row>
    <row r="842">
      <c r="V842" s="41"/>
      <c r="W842" s="41"/>
      <c r="X842" s="41"/>
      <c r="Y842" s="41"/>
    </row>
    <row r="843">
      <c r="V843" s="41"/>
      <c r="W843" s="41"/>
      <c r="X843" s="41"/>
      <c r="Y843" s="41"/>
    </row>
    <row r="844">
      <c r="V844" s="41"/>
      <c r="W844" s="41"/>
      <c r="X844" s="41"/>
      <c r="Y844" s="41"/>
    </row>
    <row r="845">
      <c r="V845" s="41"/>
      <c r="W845" s="41"/>
      <c r="X845" s="41"/>
      <c r="Y845" s="41"/>
    </row>
    <row r="846">
      <c r="V846" s="41"/>
      <c r="W846" s="41"/>
      <c r="X846" s="41"/>
      <c r="Y846" s="41"/>
    </row>
    <row r="847">
      <c r="V847" s="41"/>
      <c r="W847" s="41"/>
      <c r="X847" s="41"/>
      <c r="Y847" s="41"/>
    </row>
    <row r="848">
      <c r="V848" s="41"/>
      <c r="W848" s="41"/>
      <c r="X848" s="41"/>
      <c r="Y848" s="41"/>
    </row>
    <row r="849">
      <c r="V849" s="41"/>
      <c r="W849" s="41"/>
      <c r="X849" s="41"/>
      <c r="Y849" s="41"/>
    </row>
    <row r="850">
      <c r="V850" s="41"/>
      <c r="W850" s="41"/>
      <c r="X850" s="41"/>
      <c r="Y850" s="41"/>
    </row>
    <row r="851">
      <c r="V851" s="41"/>
      <c r="W851" s="41"/>
      <c r="X851" s="41"/>
      <c r="Y851" s="41"/>
    </row>
    <row r="852">
      <c r="V852" s="41"/>
      <c r="W852" s="41"/>
      <c r="X852" s="41"/>
      <c r="Y852" s="41"/>
    </row>
    <row r="853">
      <c r="V853" s="41"/>
      <c r="W853" s="41"/>
      <c r="X853" s="41"/>
      <c r="Y853" s="41"/>
    </row>
    <row r="854">
      <c r="V854" s="41"/>
      <c r="W854" s="41"/>
      <c r="X854" s="41"/>
      <c r="Y854" s="41"/>
    </row>
    <row r="855">
      <c r="V855" s="41"/>
      <c r="W855" s="41"/>
      <c r="X855" s="41"/>
      <c r="Y855" s="41"/>
    </row>
    <row r="856">
      <c r="V856" s="41"/>
      <c r="W856" s="41"/>
      <c r="X856" s="41"/>
      <c r="Y856" s="41"/>
    </row>
    <row r="857">
      <c r="V857" s="41"/>
      <c r="W857" s="41"/>
      <c r="X857" s="41"/>
      <c r="Y857" s="41"/>
    </row>
    <row r="858">
      <c r="V858" s="41"/>
      <c r="W858" s="41"/>
      <c r="X858" s="41"/>
      <c r="Y858" s="41"/>
    </row>
    <row r="859">
      <c r="V859" s="41"/>
      <c r="W859" s="41"/>
      <c r="X859" s="41"/>
      <c r="Y859" s="41"/>
    </row>
    <row r="860">
      <c r="V860" s="41"/>
      <c r="W860" s="41"/>
      <c r="X860" s="41"/>
      <c r="Y860" s="41"/>
    </row>
    <row r="861">
      <c r="V861" s="41"/>
      <c r="W861" s="41"/>
      <c r="X861" s="41"/>
      <c r="Y861" s="41"/>
    </row>
    <row r="862">
      <c r="V862" s="41"/>
      <c r="W862" s="41"/>
      <c r="X862" s="41"/>
      <c r="Y862" s="41"/>
    </row>
    <row r="863">
      <c r="V863" s="41"/>
      <c r="W863" s="41"/>
      <c r="X863" s="41"/>
      <c r="Y863" s="41"/>
    </row>
    <row r="864">
      <c r="V864" s="41"/>
      <c r="W864" s="41"/>
      <c r="X864" s="41"/>
      <c r="Y864" s="41"/>
    </row>
    <row r="865">
      <c r="V865" s="41"/>
      <c r="W865" s="41"/>
      <c r="X865" s="41"/>
      <c r="Y865" s="41"/>
    </row>
    <row r="866">
      <c r="V866" s="41"/>
      <c r="W866" s="41"/>
      <c r="X866" s="41"/>
      <c r="Y866" s="41"/>
    </row>
    <row r="867">
      <c r="V867" s="41"/>
      <c r="W867" s="41"/>
      <c r="X867" s="41"/>
      <c r="Y867" s="41"/>
    </row>
    <row r="868">
      <c r="V868" s="41"/>
      <c r="W868" s="41"/>
      <c r="X868" s="41"/>
      <c r="Y868" s="41"/>
    </row>
    <row r="869">
      <c r="V869" s="41"/>
      <c r="W869" s="41"/>
      <c r="X869" s="41"/>
      <c r="Y869" s="41"/>
    </row>
    <row r="870">
      <c r="V870" s="41"/>
      <c r="W870" s="41"/>
      <c r="X870" s="41"/>
      <c r="Y870" s="41"/>
    </row>
    <row r="871">
      <c r="V871" s="41"/>
      <c r="W871" s="41"/>
      <c r="X871" s="41"/>
      <c r="Y871" s="41"/>
    </row>
    <row r="872">
      <c r="V872" s="41"/>
      <c r="W872" s="41"/>
      <c r="X872" s="41"/>
      <c r="Y872" s="41"/>
    </row>
    <row r="873">
      <c r="V873" s="41"/>
      <c r="W873" s="41"/>
      <c r="X873" s="41"/>
      <c r="Y873" s="41"/>
    </row>
    <row r="874">
      <c r="V874" s="41"/>
      <c r="W874" s="41"/>
      <c r="X874" s="41"/>
      <c r="Y874" s="41"/>
    </row>
    <row r="875">
      <c r="V875" s="41"/>
      <c r="W875" s="41"/>
      <c r="X875" s="41"/>
      <c r="Y875" s="41"/>
    </row>
    <row r="876">
      <c r="V876" s="41"/>
      <c r="W876" s="41"/>
      <c r="X876" s="41"/>
      <c r="Y876" s="41"/>
    </row>
    <row r="877">
      <c r="V877" s="41"/>
      <c r="W877" s="41"/>
      <c r="X877" s="41"/>
      <c r="Y877" s="41"/>
    </row>
    <row r="878">
      <c r="V878" s="41"/>
      <c r="W878" s="41"/>
      <c r="X878" s="41"/>
      <c r="Y878" s="41"/>
    </row>
    <row r="879">
      <c r="V879" s="41"/>
      <c r="W879" s="41"/>
      <c r="X879" s="41"/>
      <c r="Y879" s="41"/>
    </row>
    <row r="880">
      <c r="V880" s="41"/>
      <c r="W880" s="41"/>
      <c r="X880" s="41"/>
      <c r="Y880" s="41"/>
    </row>
    <row r="881">
      <c r="V881" s="41"/>
      <c r="W881" s="41"/>
      <c r="X881" s="41"/>
      <c r="Y881" s="41"/>
    </row>
    <row r="882">
      <c r="V882" s="41"/>
      <c r="W882" s="41"/>
      <c r="X882" s="41"/>
      <c r="Y882" s="41"/>
    </row>
    <row r="883">
      <c r="V883" s="41"/>
      <c r="W883" s="41"/>
      <c r="X883" s="41"/>
      <c r="Y883" s="41"/>
    </row>
    <row r="884">
      <c r="V884" s="41"/>
      <c r="W884" s="41"/>
      <c r="X884" s="41"/>
      <c r="Y884" s="41"/>
    </row>
    <row r="885">
      <c r="V885" s="41"/>
      <c r="W885" s="41"/>
      <c r="X885" s="41"/>
      <c r="Y885" s="41"/>
    </row>
    <row r="886">
      <c r="V886" s="41"/>
      <c r="W886" s="41"/>
      <c r="X886" s="41"/>
      <c r="Y886" s="41"/>
    </row>
    <row r="887">
      <c r="V887" s="41"/>
      <c r="W887" s="41"/>
      <c r="X887" s="41"/>
      <c r="Y887" s="41"/>
    </row>
    <row r="888">
      <c r="V888" s="41"/>
      <c r="W888" s="41"/>
      <c r="X888" s="41"/>
      <c r="Y888" s="41"/>
    </row>
    <row r="889">
      <c r="V889" s="41"/>
      <c r="W889" s="41"/>
      <c r="X889" s="41"/>
      <c r="Y889" s="41"/>
    </row>
    <row r="890">
      <c r="V890" s="41"/>
      <c r="W890" s="41"/>
      <c r="X890" s="41"/>
      <c r="Y890" s="41"/>
    </row>
    <row r="891">
      <c r="V891" s="41"/>
      <c r="W891" s="41"/>
      <c r="X891" s="41"/>
      <c r="Y891" s="41"/>
    </row>
    <row r="892">
      <c r="V892" s="41"/>
      <c r="W892" s="41"/>
      <c r="X892" s="41"/>
      <c r="Y892" s="41"/>
    </row>
    <row r="893">
      <c r="V893" s="41"/>
      <c r="W893" s="41"/>
      <c r="X893" s="41"/>
      <c r="Y893" s="41"/>
    </row>
    <row r="894">
      <c r="V894" s="41"/>
      <c r="W894" s="41"/>
      <c r="X894" s="41"/>
      <c r="Y894" s="41"/>
    </row>
    <row r="895">
      <c r="V895" s="41"/>
      <c r="W895" s="41"/>
      <c r="X895" s="41"/>
      <c r="Y895" s="41"/>
    </row>
    <row r="896">
      <c r="V896" s="41"/>
      <c r="W896" s="41"/>
      <c r="X896" s="41"/>
      <c r="Y896" s="41"/>
    </row>
    <row r="897">
      <c r="V897" s="41"/>
      <c r="W897" s="41"/>
      <c r="X897" s="41"/>
      <c r="Y897" s="41"/>
    </row>
    <row r="898">
      <c r="V898" s="41"/>
      <c r="W898" s="41"/>
      <c r="X898" s="41"/>
      <c r="Y898" s="41"/>
    </row>
    <row r="899">
      <c r="V899" s="41"/>
      <c r="W899" s="41"/>
      <c r="X899" s="41"/>
      <c r="Y899" s="41"/>
    </row>
    <row r="900">
      <c r="V900" s="41"/>
      <c r="W900" s="41"/>
      <c r="X900" s="41"/>
      <c r="Y900" s="41"/>
    </row>
    <row r="901">
      <c r="V901" s="41"/>
      <c r="W901" s="41"/>
      <c r="X901" s="41"/>
      <c r="Y901" s="41"/>
    </row>
    <row r="902">
      <c r="V902" s="41"/>
      <c r="W902" s="41"/>
      <c r="X902" s="41"/>
      <c r="Y902" s="41"/>
    </row>
    <row r="903">
      <c r="V903" s="41"/>
      <c r="W903" s="41"/>
      <c r="X903" s="41"/>
      <c r="Y903" s="41"/>
    </row>
    <row r="904">
      <c r="V904" s="41"/>
      <c r="W904" s="41"/>
      <c r="X904" s="41"/>
      <c r="Y904" s="41"/>
    </row>
    <row r="905">
      <c r="V905" s="41"/>
      <c r="W905" s="41"/>
      <c r="X905" s="41"/>
      <c r="Y905" s="41"/>
    </row>
    <row r="906">
      <c r="V906" s="41"/>
      <c r="W906" s="41"/>
      <c r="X906" s="41"/>
      <c r="Y906" s="41"/>
    </row>
    <row r="907">
      <c r="V907" s="41"/>
      <c r="W907" s="41"/>
      <c r="X907" s="41"/>
      <c r="Y907" s="41"/>
    </row>
    <row r="908">
      <c r="V908" s="41"/>
      <c r="W908" s="41"/>
      <c r="X908" s="41"/>
      <c r="Y908" s="41"/>
    </row>
    <row r="909">
      <c r="V909" s="41"/>
      <c r="W909" s="41"/>
      <c r="X909" s="41"/>
      <c r="Y909" s="41"/>
    </row>
    <row r="910">
      <c r="V910" s="41"/>
      <c r="W910" s="41"/>
      <c r="X910" s="41"/>
      <c r="Y910" s="41"/>
    </row>
    <row r="911">
      <c r="V911" s="41"/>
      <c r="W911" s="41"/>
      <c r="X911" s="41"/>
      <c r="Y911" s="41"/>
    </row>
    <row r="912">
      <c r="V912" s="41"/>
      <c r="W912" s="41"/>
      <c r="X912" s="41"/>
      <c r="Y912" s="41"/>
    </row>
    <row r="913">
      <c r="V913" s="41"/>
      <c r="W913" s="41"/>
      <c r="X913" s="41"/>
      <c r="Y913" s="41"/>
    </row>
    <row r="914">
      <c r="V914" s="41"/>
      <c r="W914" s="41"/>
      <c r="X914" s="41"/>
      <c r="Y914" s="41"/>
    </row>
    <row r="915">
      <c r="V915" s="41"/>
      <c r="W915" s="41"/>
      <c r="X915" s="41"/>
      <c r="Y915" s="41"/>
    </row>
    <row r="916">
      <c r="V916" s="41"/>
      <c r="W916" s="41"/>
      <c r="X916" s="41"/>
      <c r="Y916" s="41"/>
    </row>
    <row r="917">
      <c r="V917" s="41"/>
      <c r="W917" s="41"/>
      <c r="X917" s="41"/>
      <c r="Y917" s="41"/>
    </row>
    <row r="918">
      <c r="V918" s="41"/>
      <c r="W918" s="41"/>
      <c r="X918" s="41"/>
      <c r="Y918" s="41"/>
    </row>
    <row r="919">
      <c r="V919" s="41"/>
      <c r="W919" s="41"/>
      <c r="X919" s="41"/>
      <c r="Y919" s="41"/>
    </row>
    <row r="920">
      <c r="V920" s="41"/>
      <c r="W920" s="41"/>
      <c r="X920" s="41"/>
      <c r="Y920" s="41"/>
    </row>
    <row r="921">
      <c r="V921" s="41"/>
      <c r="W921" s="41"/>
      <c r="X921" s="41"/>
      <c r="Y921" s="41"/>
    </row>
    <row r="922">
      <c r="V922" s="41"/>
      <c r="W922" s="41"/>
      <c r="X922" s="41"/>
      <c r="Y922" s="41"/>
    </row>
    <row r="923">
      <c r="V923" s="41"/>
      <c r="W923" s="41"/>
      <c r="X923" s="41"/>
      <c r="Y923" s="41"/>
    </row>
    <row r="924">
      <c r="V924" s="41"/>
      <c r="W924" s="41"/>
      <c r="X924" s="41"/>
      <c r="Y924" s="41"/>
    </row>
    <row r="925">
      <c r="V925" s="41"/>
      <c r="W925" s="41"/>
      <c r="X925" s="41"/>
      <c r="Y925" s="41"/>
    </row>
    <row r="926">
      <c r="V926" s="41"/>
      <c r="W926" s="41"/>
      <c r="X926" s="41"/>
      <c r="Y926" s="41"/>
    </row>
    <row r="927">
      <c r="V927" s="41"/>
      <c r="W927" s="41"/>
      <c r="X927" s="41"/>
      <c r="Y927" s="41"/>
    </row>
    <row r="928">
      <c r="V928" s="41"/>
      <c r="W928" s="41"/>
      <c r="X928" s="41"/>
      <c r="Y928" s="41"/>
    </row>
    <row r="929">
      <c r="V929" s="41"/>
      <c r="W929" s="41"/>
      <c r="X929" s="41"/>
      <c r="Y929" s="41"/>
    </row>
    <row r="930">
      <c r="V930" s="41"/>
      <c r="W930" s="41"/>
      <c r="X930" s="41"/>
      <c r="Y930" s="41"/>
    </row>
    <row r="931">
      <c r="V931" s="41"/>
      <c r="W931" s="41"/>
      <c r="X931" s="41"/>
      <c r="Y931" s="41"/>
    </row>
    <row r="932">
      <c r="V932" s="41"/>
      <c r="W932" s="41"/>
      <c r="X932" s="41"/>
      <c r="Y932" s="41"/>
    </row>
    <row r="933">
      <c r="V933" s="41"/>
      <c r="W933" s="41"/>
      <c r="X933" s="41"/>
      <c r="Y933" s="41"/>
    </row>
    <row r="934">
      <c r="V934" s="41"/>
      <c r="W934" s="41"/>
      <c r="X934" s="41"/>
      <c r="Y934" s="41"/>
    </row>
    <row r="935">
      <c r="V935" s="41"/>
      <c r="W935" s="41"/>
      <c r="X935" s="41"/>
      <c r="Y935" s="41"/>
    </row>
    <row r="936">
      <c r="V936" s="41"/>
      <c r="W936" s="41"/>
      <c r="X936" s="41"/>
      <c r="Y936" s="41"/>
    </row>
    <row r="937">
      <c r="V937" s="41"/>
      <c r="W937" s="41"/>
      <c r="X937" s="41"/>
      <c r="Y937" s="41"/>
    </row>
    <row r="938">
      <c r="V938" s="41"/>
      <c r="W938" s="41"/>
      <c r="X938" s="41"/>
      <c r="Y938" s="41"/>
    </row>
    <row r="939">
      <c r="V939" s="41"/>
      <c r="W939" s="41"/>
      <c r="X939" s="41"/>
      <c r="Y939" s="41"/>
    </row>
    <row r="940">
      <c r="V940" s="41"/>
      <c r="W940" s="41"/>
      <c r="X940" s="41"/>
      <c r="Y940" s="41"/>
    </row>
    <row r="941">
      <c r="V941" s="41"/>
      <c r="W941" s="41"/>
      <c r="X941" s="41"/>
      <c r="Y941" s="41"/>
    </row>
    <row r="942">
      <c r="V942" s="41"/>
      <c r="W942" s="41"/>
      <c r="X942" s="41"/>
      <c r="Y942" s="41"/>
    </row>
    <row r="943">
      <c r="V943" s="41"/>
      <c r="W943" s="41"/>
      <c r="X943" s="41"/>
      <c r="Y943" s="41"/>
    </row>
    <row r="944">
      <c r="V944" s="41"/>
      <c r="W944" s="41"/>
      <c r="X944" s="41"/>
      <c r="Y944" s="41"/>
    </row>
    <row r="945">
      <c r="V945" s="41"/>
      <c r="W945" s="41"/>
      <c r="X945" s="41"/>
      <c r="Y945" s="41"/>
    </row>
    <row r="946">
      <c r="V946" s="41"/>
      <c r="W946" s="41"/>
      <c r="X946" s="41"/>
      <c r="Y946" s="41"/>
    </row>
    <row r="947">
      <c r="V947" s="41"/>
      <c r="W947" s="41"/>
      <c r="X947" s="41"/>
      <c r="Y947" s="41"/>
    </row>
    <row r="948">
      <c r="V948" s="41"/>
      <c r="W948" s="41"/>
      <c r="X948" s="41"/>
      <c r="Y948" s="41"/>
    </row>
    <row r="949">
      <c r="V949" s="41"/>
      <c r="W949" s="41"/>
      <c r="X949" s="41"/>
      <c r="Y949" s="41"/>
    </row>
    <row r="950">
      <c r="V950" s="41"/>
      <c r="W950" s="41"/>
      <c r="X950" s="41"/>
      <c r="Y950" s="41"/>
    </row>
    <row r="951">
      <c r="V951" s="41"/>
      <c r="W951" s="41"/>
      <c r="X951" s="41"/>
      <c r="Y951" s="41"/>
    </row>
    <row r="952">
      <c r="V952" s="41"/>
      <c r="W952" s="41"/>
      <c r="X952" s="41"/>
      <c r="Y952" s="41"/>
    </row>
    <row r="953">
      <c r="V953" s="41"/>
      <c r="W953" s="41"/>
      <c r="X953" s="41"/>
      <c r="Y953" s="41"/>
    </row>
    <row r="954">
      <c r="V954" s="41"/>
      <c r="W954" s="41"/>
      <c r="X954" s="41"/>
      <c r="Y954" s="41"/>
    </row>
    <row r="955">
      <c r="V955" s="41"/>
      <c r="W955" s="41"/>
      <c r="X955" s="41"/>
      <c r="Y955" s="41"/>
    </row>
    <row r="956">
      <c r="V956" s="41"/>
      <c r="W956" s="41"/>
      <c r="X956" s="41"/>
      <c r="Y956" s="41"/>
    </row>
    <row r="957">
      <c r="V957" s="41"/>
      <c r="W957" s="41"/>
      <c r="X957" s="41"/>
      <c r="Y957" s="41"/>
    </row>
    <row r="958">
      <c r="V958" s="41"/>
      <c r="W958" s="41"/>
      <c r="X958" s="41"/>
      <c r="Y958" s="41"/>
    </row>
    <row r="959">
      <c r="V959" s="41"/>
      <c r="W959" s="41"/>
      <c r="X959" s="41"/>
      <c r="Y959" s="41"/>
    </row>
    <row r="960">
      <c r="V960" s="41"/>
      <c r="W960" s="41"/>
      <c r="X960" s="41"/>
      <c r="Y960" s="41"/>
    </row>
    <row r="961">
      <c r="V961" s="41"/>
      <c r="W961" s="41"/>
      <c r="X961" s="41"/>
      <c r="Y961" s="41"/>
    </row>
    <row r="962">
      <c r="V962" s="41"/>
      <c r="W962" s="41"/>
      <c r="X962" s="41"/>
      <c r="Y962" s="41"/>
    </row>
    <row r="963">
      <c r="V963" s="41"/>
      <c r="W963" s="41"/>
      <c r="X963" s="41"/>
      <c r="Y963" s="41"/>
    </row>
    <row r="964">
      <c r="V964" s="41"/>
      <c r="W964" s="41"/>
      <c r="X964" s="41"/>
      <c r="Y964" s="41"/>
    </row>
    <row r="965">
      <c r="V965" s="41"/>
      <c r="W965" s="41"/>
      <c r="X965" s="41"/>
      <c r="Y965" s="41"/>
    </row>
    <row r="966">
      <c r="V966" s="41"/>
      <c r="W966" s="41"/>
      <c r="X966" s="41"/>
      <c r="Y966" s="41"/>
    </row>
    <row r="967">
      <c r="V967" s="41"/>
      <c r="W967" s="41"/>
      <c r="X967" s="41"/>
      <c r="Y967" s="41"/>
    </row>
    <row r="968">
      <c r="V968" s="41"/>
      <c r="W968" s="41"/>
      <c r="X968" s="41"/>
      <c r="Y968" s="41"/>
    </row>
    <row r="969">
      <c r="V969" s="41"/>
      <c r="W969" s="41"/>
      <c r="X969" s="41"/>
      <c r="Y969" s="41"/>
    </row>
    <row r="970">
      <c r="V970" s="41"/>
      <c r="W970" s="41"/>
      <c r="X970" s="41"/>
      <c r="Y970" s="41"/>
    </row>
    <row r="971">
      <c r="V971" s="41"/>
      <c r="W971" s="41"/>
      <c r="X971" s="41"/>
      <c r="Y971" s="41"/>
    </row>
    <row r="972">
      <c r="V972" s="41"/>
      <c r="W972" s="41"/>
      <c r="X972" s="41"/>
      <c r="Y972" s="41"/>
    </row>
    <row r="973">
      <c r="V973" s="41"/>
      <c r="W973" s="41"/>
      <c r="X973" s="41"/>
      <c r="Y973" s="41"/>
    </row>
    <row r="974">
      <c r="V974" s="41"/>
      <c r="W974" s="41"/>
      <c r="X974" s="41"/>
      <c r="Y974" s="41"/>
    </row>
    <row r="975">
      <c r="V975" s="41"/>
      <c r="W975" s="41"/>
      <c r="X975" s="41"/>
      <c r="Y975" s="41"/>
    </row>
    <row r="976">
      <c r="V976" s="41"/>
      <c r="W976" s="41"/>
      <c r="X976" s="41"/>
      <c r="Y976" s="41"/>
    </row>
    <row r="977">
      <c r="V977" s="41"/>
      <c r="W977" s="41"/>
      <c r="X977" s="41"/>
      <c r="Y977" s="41"/>
    </row>
    <row r="978">
      <c r="V978" s="41"/>
      <c r="W978" s="41"/>
      <c r="X978" s="41"/>
      <c r="Y978" s="41"/>
    </row>
    <row r="979">
      <c r="V979" s="41"/>
      <c r="W979" s="41"/>
      <c r="X979" s="41"/>
      <c r="Y979" s="41"/>
    </row>
    <row r="980">
      <c r="V980" s="41"/>
      <c r="W980" s="41"/>
      <c r="X980" s="41"/>
      <c r="Y980" s="41"/>
    </row>
    <row r="981">
      <c r="V981" s="41"/>
      <c r="W981" s="41"/>
      <c r="X981" s="41"/>
      <c r="Y981" s="41"/>
    </row>
    <row r="982">
      <c r="V982" s="41"/>
      <c r="W982" s="41"/>
      <c r="X982" s="41"/>
      <c r="Y982" s="41"/>
    </row>
    <row r="983">
      <c r="V983" s="41"/>
      <c r="W983" s="41"/>
      <c r="X983" s="41"/>
      <c r="Y983" s="41"/>
    </row>
    <row r="984">
      <c r="V984" s="41"/>
      <c r="W984" s="41"/>
      <c r="X984" s="41"/>
      <c r="Y984" s="41"/>
    </row>
    <row r="985">
      <c r="V985" s="41"/>
      <c r="W985" s="41"/>
      <c r="X985" s="41"/>
      <c r="Y985" s="41"/>
    </row>
    <row r="986">
      <c r="V986" s="41"/>
      <c r="W986" s="41"/>
      <c r="X986" s="41"/>
      <c r="Y986" s="41"/>
    </row>
    <row r="987">
      <c r="V987" s="41"/>
      <c r="W987" s="41"/>
      <c r="X987" s="41"/>
      <c r="Y987" s="41"/>
    </row>
    <row r="988">
      <c r="V988" s="41"/>
      <c r="W988" s="41"/>
      <c r="X988" s="41"/>
      <c r="Y988" s="41"/>
    </row>
    <row r="989">
      <c r="V989" s="41"/>
      <c r="W989" s="41"/>
      <c r="X989" s="41"/>
      <c r="Y989" s="41"/>
    </row>
    <row r="990">
      <c r="V990" s="41"/>
      <c r="W990" s="41"/>
      <c r="X990" s="41"/>
      <c r="Y990" s="41"/>
    </row>
    <row r="991">
      <c r="V991" s="41"/>
      <c r="W991" s="41"/>
      <c r="X991" s="41"/>
      <c r="Y991" s="41"/>
    </row>
    <row r="992">
      <c r="V992" s="41"/>
      <c r="W992" s="41"/>
      <c r="X992" s="41"/>
      <c r="Y992" s="41"/>
    </row>
    <row r="993">
      <c r="V993" s="41"/>
      <c r="W993" s="41"/>
      <c r="X993" s="41"/>
      <c r="Y993" s="41"/>
    </row>
    <row r="994">
      <c r="V994" s="41"/>
      <c r="W994" s="41"/>
      <c r="X994" s="41"/>
      <c r="Y994" s="41"/>
    </row>
    <row r="995">
      <c r="V995" s="41"/>
      <c r="W995" s="41"/>
      <c r="X995" s="41"/>
      <c r="Y995" s="41"/>
    </row>
    <row r="996">
      <c r="V996" s="41"/>
      <c r="W996" s="41"/>
      <c r="X996" s="41"/>
      <c r="Y996" s="41"/>
    </row>
    <row r="997">
      <c r="V997" s="41"/>
      <c r="W997" s="41"/>
      <c r="X997" s="41"/>
      <c r="Y997" s="41"/>
    </row>
    <row r="998">
      <c r="V998" s="41"/>
      <c r="W998" s="41"/>
      <c r="X998" s="41"/>
      <c r="Y998" s="41"/>
    </row>
    <row r="999">
      <c r="V999" s="41"/>
      <c r="W999" s="41"/>
      <c r="X999" s="41"/>
      <c r="Y999" s="41"/>
    </row>
    <row r="1000">
      <c r="V1000" s="41"/>
      <c r="W1000" s="41"/>
      <c r="X1000" s="41"/>
      <c r="Y1000" s="41"/>
    </row>
  </sheetData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2.63"/>
  </cols>
  <sheetData>
    <row r="1">
      <c r="A1" s="2" t="s">
        <v>375</v>
      </c>
      <c r="B1" s="2" t="s">
        <v>376</v>
      </c>
      <c r="C1" s="2" t="s">
        <v>377</v>
      </c>
      <c r="D1" s="2" t="s">
        <v>378</v>
      </c>
      <c r="E1" s="2" t="s">
        <v>379</v>
      </c>
      <c r="F1" s="2" t="s">
        <v>380</v>
      </c>
    </row>
    <row r="2">
      <c r="A2" s="5" t="s">
        <v>50</v>
      </c>
      <c r="B2" s="5" t="s">
        <v>381</v>
      </c>
      <c r="C2" s="5" t="s">
        <v>382</v>
      </c>
      <c r="D2" s="43">
        <v>645.0</v>
      </c>
      <c r="E2" s="44">
        <f t="shared" ref="E2:E10" si="1">IF(EQ(C2, "Monthly"), D2, D2 / 12)</f>
        <v>645</v>
      </c>
      <c r="F2" s="44">
        <f t="shared" ref="F2:F10" si="2">IF(EQ(C2, "Monthly"), D2 * 12, D2)</f>
        <v>7740</v>
      </c>
    </row>
    <row r="3">
      <c r="A3" s="5" t="s">
        <v>150</v>
      </c>
      <c r="B3" s="5" t="s">
        <v>381</v>
      </c>
      <c r="C3" s="5" t="s">
        <v>383</v>
      </c>
      <c r="D3" s="43">
        <v>6500.0</v>
      </c>
      <c r="E3" s="44">
        <f t="shared" si="1"/>
        <v>541.6666667</v>
      </c>
      <c r="F3" s="44">
        <f t="shared" si="2"/>
        <v>6500</v>
      </c>
    </row>
    <row r="4">
      <c r="A4" s="5" t="s">
        <v>384</v>
      </c>
      <c r="B4" s="5" t="s">
        <v>381</v>
      </c>
      <c r="C4" s="5" t="s">
        <v>382</v>
      </c>
      <c r="D4" s="43">
        <v>299.0</v>
      </c>
      <c r="E4" s="44">
        <f t="shared" si="1"/>
        <v>299</v>
      </c>
      <c r="F4" s="44">
        <f t="shared" si="2"/>
        <v>3588</v>
      </c>
    </row>
    <row r="5">
      <c r="A5" s="5" t="s">
        <v>175</v>
      </c>
      <c r="B5" s="5" t="s">
        <v>381</v>
      </c>
      <c r="C5" s="5" t="s">
        <v>383</v>
      </c>
      <c r="D5" s="43">
        <v>799.0</v>
      </c>
      <c r="E5" s="44">
        <f t="shared" si="1"/>
        <v>66.58333333</v>
      </c>
      <c r="F5" s="44">
        <f t="shared" si="2"/>
        <v>799</v>
      </c>
    </row>
    <row r="6">
      <c r="A6" s="5" t="s">
        <v>174</v>
      </c>
      <c r="B6" s="5" t="s">
        <v>385</v>
      </c>
      <c r="C6" s="5" t="s">
        <v>382</v>
      </c>
      <c r="D6" s="43">
        <v>66.33</v>
      </c>
      <c r="E6" s="44">
        <f t="shared" si="1"/>
        <v>66.33</v>
      </c>
      <c r="F6" s="44">
        <f t="shared" si="2"/>
        <v>795.96</v>
      </c>
    </row>
    <row r="7">
      <c r="A7" s="5" t="s">
        <v>386</v>
      </c>
      <c r="B7" s="5" t="s">
        <v>381</v>
      </c>
      <c r="C7" s="5" t="s">
        <v>382</v>
      </c>
      <c r="D7" s="43">
        <v>529.82</v>
      </c>
      <c r="E7" s="44">
        <f t="shared" si="1"/>
        <v>529.82</v>
      </c>
      <c r="F7" s="44">
        <f t="shared" si="2"/>
        <v>6357.84</v>
      </c>
    </row>
    <row r="8">
      <c r="A8" s="5" t="s">
        <v>387</v>
      </c>
      <c r="B8" s="5" t="s">
        <v>381</v>
      </c>
      <c r="C8" s="5" t="s">
        <v>382</v>
      </c>
      <c r="D8" s="43">
        <v>1295.64</v>
      </c>
      <c r="E8" s="44">
        <f t="shared" si="1"/>
        <v>1295.64</v>
      </c>
      <c r="F8" s="44">
        <f t="shared" si="2"/>
        <v>15547.68</v>
      </c>
    </row>
    <row r="9">
      <c r="A9" s="5" t="s">
        <v>231</v>
      </c>
      <c r="B9" s="5" t="s">
        <v>381</v>
      </c>
      <c r="C9" s="5" t="s">
        <v>382</v>
      </c>
      <c r="D9" s="43">
        <v>310.0</v>
      </c>
      <c r="E9" s="44">
        <f t="shared" si="1"/>
        <v>310</v>
      </c>
      <c r="F9" s="44">
        <f t="shared" si="2"/>
        <v>3720</v>
      </c>
    </row>
    <row r="10">
      <c r="A10" s="5" t="s">
        <v>227</v>
      </c>
      <c r="B10" s="5" t="s">
        <v>381</v>
      </c>
      <c r="C10" s="5" t="s">
        <v>382</v>
      </c>
      <c r="D10" s="43">
        <v>20000.0</v>
      </c>
      <c r="E10" s="44">
        <f t="shared" si="1"/>
        <v>20000</v>
      </c>
      <c r="F10" s="44">
        <f t="shared" si="2"/>
        <v>240000</v>
      </c>
    </row>
    <row r="11">
      <c r="B11" s="5" t="s">
        <v>381</v>
      </c>
      <c r="C11" s="4"/>
      <c r="D11" s="43"/>
      <c r="E11" s="44"/>
      <c r="F11" s="44"/>
    </row>
    <row r="12">
      <c r="B12" s="5" t="s">
        <v>381</v>
      </c>
      <c r="C12" s="4"/>
      <c r="D12" s="43"/>
      <c r="E12" s="44"/>
      <c r="F12" s="44"/>
    </row>
    <row r="13">
      <c r="B13" s="5" t="s">
        <v>381</v>
      </c>
      <c r="C13" s="4"/>
      <c r="D13" s="43"/>
      <c r="E13" s="44"/>
      <c r="F13" s="44"/>
    </row>
    <row r="14">
      <c r="B14" s="5" t="s">
        <v>381</v>
      </c>
      <c r="C14" s="4"/>
      <c r="D14" s="43"/>
      <c r="E14" s="44"/>
      <c r="F14" s="44"/>
    </row>
    <row r="15">
      <c r="D15" s="43"/>
      <c r="E15" s="44"/>
      <c r="F15" s="44"/>
    </row>
    <row r="16">
      <c r="A16" s="13" t="s">
        <v>388</v>
      </c>
      <c r="B16" s="45"/>
      <c r="C16" s="15" t="s">
        <v>382</v>
      </c>
      <c r="D16" s="46">
        <f>SUMIF(C2:C14, "Monthly", D2:D14)</f>
        <v>23145.79</v>
      </c>
      <c r="E16" s="47">
        <f t="shared" ref="E16:E17" si="3">IF(EQ(C16, "Monthly"), D16, D16 / 12)</f>
        <v>23145.79</v>
      </c>
      <c r="F16" s="47">
        <f t="shared" ref="F16:F17" si="4">IF(EQ(C16, "Monthly"), D16 * 12, D16)</f>
        <v>277749.48</v>
      </c>
    </row>
    <row r="17">
      <c r="A17" s="2"/>
      <c r="C17" s="5" t="s">
        <v>383</v>
      </c>
      <c r="D17" s="43">
        <f>SUMIF(C2:C14, "Yearly", D2:D14)</f>
        <v>7299</v>
      </c>
      <c r="E17" s="44">
        <f t="shared" si="3"/>
        <v>608.25</v>
      </c>
      <c r="F17" s="44">
        <f t="shared" si="4"/>
        <v>7299</v>
      </c>
    </row>
  </sheetData>
  <dataValidations>
    <dataValidation type="list" allowBlank="1" showErrorMessage="1" sqref="C2:C14 C16:C17">
      <formula1>"Monthly,Yearly,Custom"</formula1>
    </dataValidation>
    <dataValidation type="list" allowBlank="1" showErrorMessage="1" sqref="B2:B14">
      <formula1>"Active,Inactive"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5" max="35" width="17.63"/>
  </cols>
  <sheetData>
    <row r="1">
      <c r="F1" s="48"/>
      <c r="G1" s="48"/>
    </row>
    <row r="2">
      <c r="F2" s="48"/>
      <c r="G2" s="48"/>
    </row>
    <row r="3">
      <c r="F3" s="48"/>
      <c r="G3" s="48"/>
    </row>
    <row r="4">
      <c r="F4" s="48"/>
      <c r="G4" s="48"/>
    </row>
    <row r="5">
      <c r="F5" s="48"/>
      <c r="G5" s="48"/>
    </row>
    <row r="6">
      <c r="F6" s="48"/>
      <c r="G6" s="48"/>
    </row>
    <row r="7">
      <c r="F7" s="48"/>
      <c r="G7" s="48"/>
    </row>
    <row r="8">
      <c r="F8" s="48"/>
      <c r="G8" s="48"/>
    </row>
    <row r="9">
      <c r="F9" s="48"/>
      <c r="G9" s="48"/>
    </row>
    <row r="10">
      <c r="F10" s="48"/>
      <c r="G10" s="48"/>
    </row>
    <row r="11">
      <c r="F11" s="48"/>
      <c r="G11" s="48"/>
    </row>
    <row r="12">
      <c r="F12" s="48"/>
      <c r="G12" s="48"/>
    </row>
    <row r="13">
      <c r="F13" s="48"/>
      <c r="G13" s="48"/>
    </row>
    <row r="14">
      <c r="F14" s="48"/>
      <c r="G14" s="48"/>
    </row>
    <row r="15">
      <c r="F15" s="48"/>
      <c r="G15" s="48"/>
    </row>
    <row r="16">
      <c r="F16" s="48"/>
      <c r="G16" s="48"/>
    </row>
    <row r="17">
      <c r="F17" s="48"/>
      <c r="G17" s="48"/>
    </row>
    <row r="18">
      <c r="F18" s="48"/>
      <c r="G18" s="48"/>
    </row>
    <row r="19">
      <c r="F19" s="48"/>
      <c r="G19" s="48"/>
    </row>
    <row r="20">
      <c r="F20" s="48"/>
      <c r="G20" s="48"/>
    </row>
    <row r="21">
      <c r="F21" s="48"/>
      <c r="G21" s="48"/>
    </row>
    <row r="22">
      <c r="F22" s="48"/>
      <c r="G22" s="48"/>
    </row>
    <row r="23">
      <c r="F23" s="48"/>
      <c r="G23" s="48"/>
    </row>
    <row r="24">
      <c r="F24" s="48"/>
      <c r="G24" s="48"/>
    </row>
    <row r="25">
      <c r="F25" s="48"/>
      <c r="G25" s="48"/>
    </row>
    <row r="26">
      <c r="F26" s="48"/>
      <c r="G26" s="48"/>
    </row>
    <row r="27">
      <c r="F27" s="48"/>
      <c r="G27" s="48"/>
    </row>
    <row r="28">
      <c r="F28" s="48"/>
      <c r="G28" s="48"/>
    </row>
    <row r="29">
      <c r="F29" s="48"/>
      <c r="G29" s="48"/>
    </row>
    <row r="30">
      <c r="F30" s="48"/>
      <c r="G30" s="48"/>
    </row>
    <row r="31">
      <c r="F31" s="48"/>
      <c r="G31" s="48"/>
    </row>
    <row r="32">
      <c r="F32" s="48"/>
      <c r="G32" s="48"/>
    </row>
    <row r="33">
      <c r="F33" s="48"/>
      <c r="G33" s="48"/>
    </row>
    <row r="34">
      <c r="F34" s="48"/>
      <c r="G34" s="48"/>
    </row>
    <row r="35">
      <c r="F35" s="48"/>
      <c r="G35" s="48"/>
    </row>
    <row r="36">
      <c r="F36" s="48"/>
      <c r="G36" s="48"/>
    </row>
    <row r="37">
      <c r="F37" s="48"/>
      <c r="G37" s="48"/>
    </row>
    <row r="38">
      <c r="F38" s="48"/>
      <c r="G38" s="48"/>
    </row>
    <row r="39">
      <c r="F39" s="48"/>
      <c r="G39" s="48"/>
    </row>
    <row r="40">
      <c r="F40" s="48"/>
      <c r="G40" s="48"/>
    </row>
    <row r="41">
      <c r="F41" s="48"/>
      <c r="G41" s="48"/>
    </row>
    <row r="42">
      <c r="F42" s="48"/>
      <c r="G42" s="48"/>
    </row>
    <row r="43">
      <c r="F43" s="48"/>
      <c r="G43" s="48"/>
    </row>
    <row r="44">
      <c r="F44" s="48"/>
      <c r="G44" s="48"/>
    </row>
    <row r="45">
      <c r="F45" s="48"/>
      <c r="G45" s="48"/>
    </row>
    <row r="46">
      <c r="F46" s="48"/>
      <c r="G46" s="48"/>
    </row>
    <row r="47">
      <c r="F47" s="48"/>
      <c r="G47" s="48"/>
    </row>
    <row r="48">
      <c r="F48" s="48"/>
      <c r="G48" s="48"/>
    </row>
    <row r="49">
      <c r="F49" s="48"/>
      <c r="G49" s="48"/>
    </row>
    <row r="50">
      <c r="F50" s="48"/>
      <c r="G50" s="48"/>
    </row>
    <row r="51">
      <c r="F51" s="48"/>
      <c r="G51" s="48"/>
    </row>
    <row r="52">
      <c r="F52" s="48"/>
      <c r="G52" s="48"/>
    </row>
    <row r="53">
      <c r="F53" s="48"/>
      <c r="G53" s="48"/>
    </row>
    <row r="54">
      <c r="F54" s="48"/>
      <c r="G54" s="48"/>
    </row>
    <row r="55">
      <c r="F55" s="48"/>
      <c r="G55" s="48"/>
    </row>
    <row r="56">
      <c r="F56" s="48"/>
      <c r="G56" s="48"/>
    </row>
    <row r="57">
      <c r="F57" s="48"/>
      <c r="G57" s="48"/>
    </row>
    <row r="58">
      <c r="F58" s="48"/>
      <c r="G58" s="48"/>
    </row>
    <row r="59">
      <c r="F59" s="48"/>
      <c r="G59" s="48"/>
    </row>
    <row r="60">
      <c r="F60" s="48"/>
      <c r="G60" s="48"/>
    </row>
    <row r="61">
      <c r="F61" s="48"/>
      <c r="G61" s="48"/>
    </row>
    <row r="62">
      <c r="F62" s="48"/>
      <c r="G62" s="48"/>
    </row>
    <row r="63">
      <c r="F63" s="48"/>
      <c r="G63" s="48"/>
    </row>
    <row r="64">
      <c r="F64" s="48"/>
      <c r="G64" s="48"/>
    </row>
    <row r="65">
      <c r="F65" s="48"/>
      <c r="G65" s="48"/>
    </row>
    <row r="66">
      <c r="F66" s="48"/>
      <c r="G66" s="48"/>
    </row>
    <row r="67">
      <c r="F67" s="48"/>
      <c r="G67" s="48"/>
    </row>
    <row r="68">
      <c r="F68" s="48"/>
      <c r="G68" s="48"/>
    </row>
    <row r="69">
      <c r="F69" s="48"/>
      <c r="G69" s="48"/>
    </row>
    <row r="70">
      <c r="F70" s="48"/>
      <c r="G70" s="48"/>
    </row>
    <row r="71">
      <c r="F71" s="48"/>
      <c r="G71" s="48"/>
    </row>
    <row r="72">
      <c r="F72" s="48"/>
      <c r="G72" s="48"/>
    </row>
    <row r="73">
      <c r="F73" s="48"/>
      <c r="G73" s="48"/>
    </row>
    <row r="74">
      <c r="F74" s="48"/>
      <c r="G74" s="48"/>
    </row>
    <row r="75">
      <c r="F75" s="48"/>
      <c r="G75" s="48"/>
    </row>
    <row r="76">
      <c r="F76" s="48"/>
      <c r="G76" s="48"/>
    </row>
    <row r="77">
      <c r="F77" s="48"/>
      <c r="G77" s="48"/>
    </row>
    <row r="78">
      <c r="F78" s="48"/>
      <c r="G78" s="48"/>
    </row>
    <row r="79">
      <c r="F79" s="48"/>
      <c r="G79" s="48"/>
    </row>
    <row r="80">
      <c r="F80" s="48"/>
      <c r="G80" s="48"/>
    </row>
    <row r="81">
      <c r="F81" s="48"/>
      <c r="G81" s="48"/>
    </row>
    <row r="82">
      <c r="F82" s="48"/>
      <c r="G82" s="48"/>
    </row>
    <row r="83">
      <c r="F83" s="48"/>
      <c r="G83" s="48"/>
    </row>
    <row r="84">
      <c r="F84" s="48"/>
      <c r="G84" s="48"/>
    </row>
    <row r="85">
      <c r="F85" s="48"/>
      <c r="G85" s="48"/>
    </row>
    <row r="86">
      <c r="F86" s="48"/>
      <c r="G86" s="48"/>
    </row>
    <row r="87">
      <c r="F87" s="48"/>
      <c r="G87" s="48"/>
    </row>
    <row r="88">
      <c r="F88" s="48"/>
      <c r="G88" s="48"/>
    </row>
    <row r="89">
      <c r="F89" s="48"/>
      <c r="G89" s="48"/>
    </row>
    <row r="90">
      <c r="F90" s="48"/>
      <c r="G90" s="48"/>
    </row>
    <row r="91">
      <c r="F91" s="48"/>
      <c r="G91" s="48"/>
    </row>
    <row r="92">
      <c r="F92" s="48"/>
      <c r="G92" s="48"/>
    </row>
    <row r="93">
      <c r="F93" s="48"/>
      <c r="G93" s="48"/>
    </row>
    <row r="94">
      <c r="F94" s="48"/>
      <c r="G94" s="48"/>
    </row>
    <row r="95">
      <c r="F95" s="48"/>
      <c r="G95" s="48"/>
    </row>
    <row r="96">
      <c r="F96" s="48"/>
      <c r="G96" s="48"/>
    </row>
    <row r="97">
      <c r="F97" s="48"/>
      <c r="G97" s="48"/>
    </row>
    <row r="98">
      <c r="F98" s="48"/>
      <c r="G98" s="48"/>
    </row>
    <row r="99">
      <c r="F99" s="48"/>
      <c r="G99" s="48"/>
    </row>
    <row r="100">
      <c r="F100" s="48"/>
      <c r="G100" s="48"/>
    </row>
    <row r="101">
      <c r="F101" s="48"/>
      <c r="G101" s="48"/>
    </row>
    <row r="102">
      <c r="F102" s="48"/>
      <c r="G102" s="48"/>
    </row>
    <row r="103">
      <c r="F103" s="48"/>
      <c r="G103" s="48"/>
    </row>
    <row r="104">
      <c r="F104" s="48"/>
      <c r="G104" s="48"/>
    </row>
    <row r="105">
      <c r="F105" s="48"/>
      <c r="G105" s="48"/>
    </row>
    <row r="106">
      <c r="F106" s="48"/>
      <c r="G106" s="48"/>
    </row>
    <row r="107">
      <c r="F107" s="48"/>
      <c r="G107" s="48"/>
    </row>
    <row r="108">
      <c r="F108" s="48"/>
      <c r="G108" s="48"/>
    </row>
    <row r="109">
      <c r="F109" s="48"/>
      <c r="G109" s="48"/>
    </row>
    <row r="110">
      <c r="F110" s="48"/>
      <c r="G110" s="48"/>
    </row>
    <row r="111">
      <c r="F111" s="48"/>
      <c r="G111" s="48"/>
    </row>
    <row r="112">
      <c r="F112" s="48"/>
      <c r="G112" s="48"/>
    </row>
    <row r="113">
      <c r="F113" s="48"/>
      <c r="G113" s="48"/>
    </row>
    <row r="114">
      <c r="F114" s="48"/>
      <c r="G114" s="48"/>
    </row>
    <row r="115">
      <c r="F115" s="48"/>
      <c r="G115" s="48"/>
    </row>
    <row r="116">
      <c r="F116" s="48"/>
      <c r="G116" s="48"/>
    </row>
    <row r="117">
      <c r="F117" s="48"/>
      <c r="G117" s="48"/>
    </row>
    <row r="118">
      <c r="F118" s="48"/>
      <c r="G118" s="48"/>
    </row>
    <row r="119">
      <c r="F119" s="48"/>
      <c r="G119" s="48"/>
    </row>
    <row r="120">
      <c r="F120" s="48"/>
      <c r="G120" s="48"/>
    </row>
    <row r="121">
      <c r="F121" s="48"/>
      <c r="G121" s="48"/>
    </row>
    <row r="122">
      <c r="F122" s="48"/>
      <c r="G122" s="48"/>
    </row>
    <row r="123">
      <c r="F123" s="48"/>
      <c r="G123" s="48"/>
    </row>
    <row r="124">
      <c r="F124" s="48"/>
      <c r="G124" s="48"/>
    </row>
    <row r="125">
      <c r="F125" s="48"/>
      <c r="G125" s="48"/>
    </row>
    <row r="126">
      <c r="F126" s="48"/>
      <c r="G126" s="48"/>
    </row>
    <row r="127">
      <c r="F127" s="48"/>
      <c r="G127" s="48"/>
    </row>
    <row r="128">
      <c r="F128" s="48"/>
      <c r="G128" s="48"/>
    </row>
    <row r="129">
      <c r="F129" s="48"/>
      <c r="G129" s="48"/>
    </row>
    <row r="130">
      <c r="F130" s="48"/>
      <c r="G130" s="48"/>
    </row>
    <row r="131">
      <c r="F131" s="48"/>
      <c r="G131" s="48"/>
    </row>
    <row r="132">
      <c r="F132" s="48"/>
      <c r="G132" s="48"/>
    </row>
    <row r="133">
      <c r="F133" s="48"/>
      <c r="G133" s="48"/>
    </row>
    <row r="134">
      <c r="F134" s="48"/>
      <c r="G134" s="48"/>
    </row>
    <row r="135">
      <c r="F135" s="48"/>
      <c r="G135" s="48"/>
    </row>
    <row r="136">
      <c r="F136" s="48"/>
      <c r="G136" s="48"/>
    </row>
    <row r="137">
      <c r="F137" s="48"/>
      <c r="G137" s="48"/>
    </row>
    <row r="138">
      <c r="F138" s="48"/>
      <c r="G138" s="48"/>
    </row>
    <row r="139">
      <c r="F139" s="48"/>
      <c r="G139" s="48"/>
    </row>
    <row r="140">
      <c r="F140" s="48"/>
      <c r="G140" s="48"/>
    </row>
    <row r="141">
      <c r="F141" s="48"/>
      <c r="G141" s="48"/>
    </row>
    <row r="142">
      <c r="F142" s="48"/>
      <c r="G142" s="48"/>
    </row>
    <row r="143">
      <c r="F143" s="48"/>
      <c r="G143" s="48"/>
    </row>
    <row r="144">
      <c r="F144" s="48"/>
      <c r="G144" s="48"/>
    </row>
    <row r="145">
      <c r="F145" s="48"/>
      <c r="G145" s="48"/>
    </row>
    <row r="146">
      <c r="F146" s="48"/>
      <c r="G146" s="48"/>
    </row>
    <row r="147">
      <c r="F147" s="48"/>
      <c r="G147" s="48"/>
    </row>
    <row r="148">
      <c r="F148" s="48"/>
      <c r="G148" s="48"/>
    </row>
    <row r="149">
      <c r="F149" s="48"/>
      <c r="G149" s="48"/>
    </row>
    <row r="150">
      <c r="F150" s="48"/>
      <c r="G150" s="48"/>
    </row>
    <row r="151">
      <c r="F151" s="48"/>
      <c r="G151" s="48"/>
    </row>
    <row r="152">
      <c r="F152" s="48"/>
      <c r="G152" s="48"/>
    </row>
    <row r="153">
      <c r="F153" s="48"/>
      <c r="G153" s="48"/>
    </row>
    <row r="154">
      <c r="F154" s="48"/>
      <c r="G154" s="48"/>
    </row>
    <row r="155">
      <c r="F155" s="48"/>
      <c r="G155" s="48"/>
    </row>
    <row r="156">
      <c r="F156" s="48"/>
      <c r="G156" s="48"/>
    </row>
    <row r="157">
      <c r="F157" s="48"/>
      <c r="G157" s="48"/>
    </row>
    <row r="158">
      <c r="F158" s="48"/>
      <c r="G158" s="48"/>
    </row>
    <row r="159">
      <c r="F159" s="48"/>
      <c r="G159" s="48"/>
    </row>
    <row r="160">
      <c r="F160" s="48"/>
      <c r="G160" s="48"/>
    </row>
    <row r="161">
      <c r="F161" s="48"/>
      <c r="G161" s="48"/>
    </row>
    <row r="162">
      <c r="F162" s="48"/>
      <c r="G162" s="48"/>
    </row>
    <row r="163">
      <c r="F163" s="48"/>
      <c r="G163" s="48"/>
    </row>
    <row r="164">
      <c r="F164" s="48"/>
      <c r="G164" s="48"/>
    </row>
    <row r="165">
      <c r="F165" s="48"/>
      <c r="G165" s="48"/>
    </row>
    <row r="166">
      <c r="F166" s="48"/>
      <c r="G166" s="48"/>
    </row>
    <row r="167">
      <c r="F167" s="48"/>
      <c r="G167" s="48"/>
    </row>
    <row r="168">
      <c r="F168" s="48"/>
      <c r="G168" s="48"/>
    </row>
    <row r="169">
      <c r="F169" s="48"/>
      <c r="G169" s="48"/>
    </row>
    <row r="170">
      <c r="F170" s="48"/>
      <c r="G170" s="48"/>
    </row>
    <row r="171">
      <c r="F171" s="48"/>
      <c r="G171" s="48"/>
    </row>
    <row r="172">
      <c r="F172" s="48"/>
      <c r="G172" s="48"/>
    </row>
    <row r="173">
      <c r="F173" s="48"/>
      <c r="G173" s="48"/>
    </row>
    <row r="174">
      <c r="F174" s="48"/>
      <c r="G174" s="48"/>
    </row>
    <row r="175">
      <c r="F175" s="48"/>
      <c r="G175" s="48"/>
    </row>
    <row r="176">
      <c r="F176" s="48"/>
      <c r="G176" s="48"/>
    </row>
    <row r="177">
      <c r="F177" s="48"/>
      <c r="G177" s="48"/>
    </row>
    <row r="178">
      <c r="F178" s="48"/>
      <c r="G178" s="48"/>
    </row>
    <row r="179">
      <c r="F179" s="48"/>
      <c r="G179" s="48"/>
    </row>
    <row r="180">
      <c r="F180" s="48"/>
      <c r="G180" s="48"/>
    </row>
    <row r="181">
      <c r="F181" s="48"/>
      <c r="G181" s="48"/>
    </row>
    <row r="182">
      <c r="F182" s="48"/>
      <c r="G182" s="48"/>
    </row>
    <row r="183">
      <c r="F183" s="48"/>
      <c r="G183" s="48"/>
    </row>
    <row r="184">
      <c r="F184" s="48"/>
      <c r="G184" s="48"/>
    </row>
    <row r="185">
      <c r="F185" s="48"/>
      <c r="G185" s="48"/>
    </row>
    <row r="186">
      <c r="F186" s="48"/>
      <c r="G186" s="48"/>
    </row>
    <row r="187">
      <c r="F187" s="48"/>
      <c r="G187" s="48"/>
    </row>
    <row r="188">
      <c r="F188" s="48"/>
      <c r="G188" s="48"/>
    </row>
    <row r="189">
      <c r="F189" s="48"/>
      <c r="G189" s="48"/>
    </row>
    <row r="190">
      <c r="F190" s="48"/>
      <c r="G190" s="48"/>
    </row>
    <row r="191">
      <c r="F191" s="48"/>
      <c r="G191" s="48"/>
    </row>
    <row r="192">
      <c r="F192" s="48"/>
      <c r="G192" s="48"/>
    </row>
    <row r="193">
      <c r="F193" s="48"/>
      <c r="G193" s="48"/>
    </row>
    <row r="194">
      <c r="F194" s="48"/>
      <c r="G194" s="48"/>
    </row>
    <row r="195">
      <c r="F195" s="48"/>
      <c r="G195" s="48"/>
    </row>
    <row r="196">
      <c r="F196" s="48"/>
      <c r="G196" s="48"/>
    </row>
    <row r="197">
      <c r="F197" s="48"/>
      <c r="G197" s="48"/>
    </row>
    <row r="198">
      <c r="F198" s="48"/>
      <c r="G198" s="48"/>
    </row>
    <row r="199">
      <c r="F199" s="48"/>
      <c r="G199" s="48"/>
    </row>
    <row r="200">
      <c r="F200" s="48"/>
      <c r="G200" s="48"/>
    </row>
    <row r="201">
      <c r="F201" s="48"/>
      <c r="G201" s="48"/>
    </row>
    <row r="202">
      <c r="F202" s="48"/>
      <c r="G202" s="48"/>
    </row>
    <row r="203">
      <c r="F203" s="48"/>
      <c r="G203" s="48"/>
    </row>
    <row r="204">
      <c r="F204" s="48"/>
      <c r="G204" s="48"/>
    </row>
    <row r="205">
      <c r="F205" s="48"/>
      <c r="G205" s="48"/>
    </row>
    <row r="206">
      <c r="F206" s="48"/>
      <c r="G206" s="48"/>
    </row>
    <row r="207">
      <c r="F207" s="48"/>
      <c r="G207" s="48"/>
    </row>
    <row r="208">
      <c r="F208" s="48"/>
      <c r="G208" s="48"/>
    </row>
    <row r="209">
      <c r="F209" s="48"/>
      <c r="G209" s="48"/>
    </row>
    <row r="210">
      <c r="F210" s="48"/>
      <c r="G210" s="48"/>
    </row>
    <row r="211">
      <c r="F211" s="48"/>
      <c r="G211" s="48"/>
    </row>
    <row r="212">
      <c r="F212" s="48"/>
      <c r="G212" s="48"/>
    </row>
    <row r="213">
      <c r="F213" s="48"/>
      <c r="G213" s="48"/>
    </row>
    <row r="214">
      <c r="F214" s="48"/>
      <c r="G214" s="48"/>
    </row>
    <row r="215">
      <c r="F215" s="48"/>
      <c r="G215" s="48"/>
    </row>
    <row r="216">
      <c r="F216" s="48"/>
      <c r="G216" s="48"/>
    </row>
    <row r="217">
      <c r="F217" s="48"/>
      <c r="G217" s="48"/>
    </row>
    <row r="218">
      <c r="F218" s="48"/>
      <c r="G218" s="48"/>
    </row>
    <row r="219">
      <c r="F219" s="48"/>
      <c r="G219" s="48"/>
    </row>
    <row r="220">
      <c r="F220" s="48"/>
      <c r="G220" s="48"/>
    </row>
    <row r="221">
      <c r="F221" s="48"/>
      <c r="G221" s="48"/>
    </row>
    <row r="222">
      <c r="F222" s="48"/>
      <c r="G222" s="48"/>
    </row>
    <row r="223">
      <c r="F223" s="48"/>
      <c r="G223" s="48"/>
    </row>
    <row r="224">
      <c r="F224" s="48"/>
      <c r="G224" s="48"/>
    </row>
    <row r="225">
      <c r="F225" s="48"/>
      <c r="G225" s="48"/>
    </row>
    <row r="226">
      <c r="F226" s="48"/>
      <c r="G226" s="48"/>
    </row>
    <row r="227">
      <c r="F227" s="48"/>
      <c r="G227" s="48"/>
    </row>
    <row r="228">
      <c r="F228" s="48"/>
      <c r="G228" s="48"/>
    </row>
    <row r="229">
      <c r="F229" s="48"/>
      <c r="G229" s="48"/>
    </row>
    <row r="230">
      <c r="F230" s="48"/>
      <c r="G230" s="48"/>
    </row>
    <row r="231">
      <c r="F231" s="48"/>
      <c r="G231" s="48"/>
    </row>
    <row r="232">
      <c r="F232" s="48"/>
      <c r="G232" s="48"/>
    </row>
    <row r="233">
      <c r="F233" s="48"/>
      <c r="G233" s="48"/>
    </row>
    <row r="234">
      <c r="F234" s="48"/>
      <c r="G234" s="48"/>
    </row>
    <row r="235">
      <c r="F235" s="48"/>
      <c r="G235" s="48"/>
    </row>
    <row r="236">
      <c r="F236" s="48"/>
      <c r="G236" s="48"/>
    </row>
    <row r="237">
      <c r="F237" s="48"/>
      <c r="G237" s="48"/>
    </row>
    <row r="238">
      <c r="F238" s="48"/>
      <c r="G238" s="48"/>
    </row>
    <row r="239">
      <c r="F239" s="48"/>
      <c r="G239" s="48"/>
    </row>
    <row r="240">
      <c r="F240" s="48"/>
      <c r="G240" s="48"/>
    </row>
    <row r="241">
      <c r="F241" s="48"/>
      <c r="G241" s="48"/>
    </row>
    <row r="242">
      <c r="F242" s="48"/>
      <c r="G242" s="48"/>
    </row>
    <row r="243">
      <c r="F243" s="48"/>
      <c r="G243" s="48"/>
    </row>
    <row r="244">
      <c r="F244" s="48"/>
      <c r="G244" s="48"/>
    </row>
    <row r="245">
      <c r="F245" s="48"/>
      <c r="G245" s="48"/>
    </row>
    <row r="246">
      <c r="F246" s="48"/>
      <c r="G246" s="48"/>
    </row>
    <row r="247">
      <c r="F247" s="48"/>
      <c r="G247" s="48"/>
    </row>
    <row r="248">
      <c r="F248" s="48"/>
      <c r="G248" s="48"/>
    </row>
    <row r="249">
      <c r="F249" s="48"/>
      <c r="G249" s="48"/>
    </row>
    <row r="250">
      <c r="F250" s="48"/>
      <c r="G250" s="48"/>
    </row>
    <row r="251">
      <c r="F251" s="48"/>
      <c r="G251" s="48"/>
    </row>
    <row r="252">
      <c r="F252" s="48"/>
      <c r="G252" s="48"/>
    </row>
    <row r="253">
      <c r="F253" s="48"/>
      <c r="G253" s="48"/>
    </row>
    <row r="254">
      <c r="F254" s="48"/>
      <c r="G254" s="48"/>
    </row>
    <row r="255">
      <c r="F255" s="48"/>
      <c r="G255" s="48"/>
    </row>
    <row r="256">
      <c r="F256" s="48"/>
      <c r="G256" s="48"/>
    </row>
    <row r="257">
      <c r="F257" s="48"/>
      <c r="G257" s="48"/>
    </row>
    <row r="258">
      <c r="F258" s="48"/>
      <c r="G258" s="48"/>
    </row>
    <row r="259">
      <c r="F259" s="48"/>
      <c r="G259" s="48"/>
    </row>
    <row r="260">
      <c r="F260" s="48"/>
      <c r="G260" s="48"/>
    </row>
    <row r="261">
      <c r="F261" s="48"/>
      <c r="G261" s="48"/>
    </row>
    <row r="262">
      <c r="F262" s="48"/>
      <c r="G262" s="48"/>
    </row>
    <row r="263">
      <c r="F263" s="48"/>
      <c r="G263" s="48"/>
    </row>
    <row r="264">
      <c r="F264" s="48"/>
      <c r="G264" s="48"/>
    </row>
    <row r="265">
      <c r="F265" s="48"/>
      <c r="G265" s="48"/>
    </row>
    <row r="266">
      <c r="F266" s="48"/>
      <c r="G266" s="48"/>
    </row>
    <row r="267">
      <c r="F267" s="48"/>
      <c r="G267" s="48"/>
    </row>
    <row r="268">
      <c r="F268" s="48"/>
      <c r="G268" s="48"/>
    </row>
    <row r="269">
      <c r="F269" s="48"/>
      <c r="G269" s="48"/>
    </row>
    <row r="270">
      <c r="F270" s="48"/>
      <c r="G270" s="48"/>
    </row>
    <row r="271">
      <c r="F271" s="48"/>
      <c r="G271" s="48"/>
    </row>
    <row r="272">
      <c r="F272" s="48"/>
      <c r="G272" s="48"/>
    </row>
    <row r="273">
      <c r="F273" s="48"/>
      <c r="G273" s="48"/>
    </row>
    <row r="274">
      <c r="F274" s="48"/>
      <c r="G274" s="48"/>
    </row>
    <row r="275">
      <c r="F275" s="48"/>
      <c r="G275" s="48"/>
    </row>
    <row r="276">
      <c r="F276" s="48"/>
      <c r="G276" s="48"/>
    </row>
    <row r="277">
      <c r="F277" s="48"/>
      <c r="G277" s="48"/>
    </row>
    <row r="278">
      <c r="F278" s="48"/>
      <c r="G278" s="48"/>
    </row>
    <row r="279">
      <c r="F279" s="48"/>
      <c r="G279" s="48"/>
    </row>
    <row r="280">
      <c r="F280" s="48"/>
      <c r="G280" s="48"/>
    </row>
    <row r="281">
      <c r="F281" s="48"/>
      <c r="G281" s="48"/>
    </row>
    <row r="282">
      <c r="F282" s="48"/>
      <c r="G282" s="48"/>
    </row>
    <row r="283">
      <c r="F283" s="48"/>
      <c r="G283" s="48"/>
    </row>
    <row r="284">
      <c r="F284" s="48"/>
      <c r="G284" s="48"/>
    </row>
    <row r="285">
      <c r="F285" s="48"/>
      <c r="G285" s="48"/>
    </row>
    <row r="286">
      <c r="F286" s="48"/>
      <c r="G286" s="48"/>
    </row>
    <row r="287">
      <c r="F287" s="48"/>
      <c r="G287" s="48"/>
    </row>
    <row r="288">
      <c r="F288" s="48"/>
      <c r="G288" s="48"/>
    </row>
    <row r="289">
      <c r="F289" s="48"/>
      <c r="G289" s="48"/>
    </row>
    <row r="290">
      <c r="F290" s="48"/>
      <c r="G290" s="48"/>
    </row>
    <row r="291">
      <c r="F291" s="48"/>
      <c r="G291" s="48"/>
    </row>
    <row r="292">
      <c r="F292" s="48"/>
      <c r="G292" s="48"/>
    </row>
    <row r="293">
      <c r="F293" s="48"/>
      <c r="G293" s="48"/>
    </row>
    <row r="294">
      <c r="F294" s="48"/>
      <c r="G294" s="48"/>
    </row>
    <row r="295">
      <c r="F295" s="48"/>
      <c r="G295" s="48"/>
    </row>
    <row r="296">
      <c r="F296" s="48"/>
      <c r="G296" s="48"/>
    </row>
    <row r="297">
      <c r="F297" s="48"/>
      <c r="G297" s="48"/>
    </row>
    <row r="298">
      <c r="F298" s="48"/>
      <c r="G298" s="48"/>
    </row>
    <row r="299">
      <c r="F299" s="48"/>
      <c r="G299" s="48"/>
    </row>
    <row r="300">
      <c r="F300" s="48"/>
      <c r="G300" s="48"/>
    </row>
    <row r="301">
      <c r="F301" s="48"/>
      <c r="G301" s="48"/>
    </row>
    <row r="302">
      <c r="F302" s="48"/>
      <c r="G302" s="48"/>
    </row>
    <row r="303">
      <c r="F303" s="48"/>
      <c r="G303" s="48"/>
    </row>
    <row r="304">
      <c r="F304" s="48"/>
      <c r="G304" s="48"/>
    </row>
    <row r="305">
      <c r="F305" s="48"/>
      <c r="G305" s="48"/>
    </row>
    <row r="306">
      <c r="F306" s="48"/>
      <c r="G306" s="48"/>
    </row>
    <row r="307">
      <c r="F307" s="48"/>
      <c r="G307" s="48"/>
    </row>
    <row r="308">
      <c r="F308" s="48"/>
      <c r="G308" s="48"/>
    </row>
    <row r="309">
      <c r="F309" s="48"/>
      <c r="G309" s="48"/>
    </row>
    <row r="310">
      <c r="F310" s="48"/>
      <c r="G310" s="48"/>
    </row>
    <row r="311">
      <c r="F311" s="48"/>
      <c r="G311" s="48"/>
    </row>
    <row r="312">
      <c r="F312" s="48"/>
      <c r="G312" s="48"/>
    </row>
    <row r="313">
      <c r="F313" s="48"/>
      <c r="G313" s="48"/>
    </row>
    <row r="314">
      <c r="F314" s="48"/>
      <c r="G314" s="48"/>
    </row>
    <row r="315">
      <c r="F315" s="48"/>
      <c r="G315" s="48"/>
    </row>
    <row r="316">
      <c r="F316" s="48"/>
      <c r="G316" s="48"/>
    </row>
    <row r="317">
      <c r="F317" s="48"/>
      <c r="G317" s="48"/>
    </row>
    <row r="318">
      <c r="F318" s="48"/>
      <c r="G318" s="48"/>
    </row>
    <row r="319">
      <c r="F319" s="48"/>
      <c r="G319" s="48"/>
    </row>
    <row r="320">
      <c r="F320" s="48"/>
      <c r="G320" s="48"/>
    </row>
    <row r="321">
      <c r="F321" s="48"/>
      <c r="G321" s="48"/>
    </row>
    <row r="322">
      <c r="F322" s="48"/>
      <c r="G322" s="48"/>
    </row>
    <row r="323">
      <c r="F323" s="48"/>
      <c r="G323" s="48"/>
    </row>
    <row r="324">
      <c r="F324" s="48"/>
      <c r="G324" s="48"/>
    </row>
    <row r="325">
      <c r="F325" s="48"/>
      <c r="G325" s="48"/>
    </row>
    <row r="326">
      <c r="F326" s="48"/>
      <c r="G326" s="48"/>
    </row>
    <row r="327">
      <c r="F327" s="48"/>
      <c r="G327" s="48"/>
    </row>
    <row r="328">
      <c r="F328" s="48"/>
      <c r="G328" s="48"/>
    </row>
    <row r="329">
      <c r="F329" s="48"/>
      <c r="G329" s="48"/>
    </row>
    <row r="330">
      <c r="F330" s="48"/>
      <c r="G330" s="48"/>
    </row>
    <row r="331">
      <c r="F331" s="48"/>
      <c r="G331" s="48"/>
    </row>
    <row r="332">
      <c r="F332" s="48"/>
      <c r="G332" s="48"/>
    </row>
    <row r="333">
      <c r="F333" s="48"/>
      <c r="G333" s="48"/>
    </row>
    <row r="334">
      <c r="F334" s="48"/>
      <c r="G334" s="48"/>
    </row>
    <row r="335">
      <c r="F335" s="48"/>
      <c r="G335" s="48"/>
    </row>
    <row r="336">
      <c r="F336" s="48"/>
      <c r="G336" s="48"/>
    </row>
    <row r="337">
      <c r="F337" s="48"/>
      <c r="G337" s="48"/>
    </row>
    <row r="338">
      <c r="F338" s="48"/>
      <c r="G338" s="48"/>
    </row>
    <row r="339">
      <c r="F339" s="48"/>
      <c r="G339" s="48"/>
    </row>
    <row r="340">
      <c r="F340" s="48"/>
      <c r="G340" s="48"/>
    </row>
    <row r="341">
      <c r="F341" s="48"/>
      <c r="G341" s="48"/>
    </row>
    <row r="342">
      <c r="F342" s="48"/>
      <c r="G342" s="48"/>
    </row>
    <row r="343">
      <c r="F343" s="48"/>
      <c r="G343" s="48"/>
    </row>
    <row r="344">
      <c r="F344" s="48"/>
      <c r="G344" s="48"/>
    </row>
    <row r="345">
      <c r="F345" s="48"/>
      <c r="G345" s="48"/>
    </row>
    <row r="346">
      <c r="F346" s="48"/>
      <c r="G346" s="48"/>
    </row>
    <row r="347">
      <c r="F347" s="48"/>
      <c r="G347" s="48"/>
    </row>
    <row r="348">
      <c r="F348" s="48"/>
      <c r="G348" s="48"/>
    </row>
    <row r="349">
      <c r="F349" s="48"/>
      <c r="G349" s="48"/>
    </row>
    <row r="350">
      <c r="F350" s="48"/>
      <c r="G350" s="48"/>
    </row>
    <row r="351">
      <c r="F351" s="48"/>
      <c r="G351" s="48"/>
    </row>
    <row r="352">
      <c r="F352" s="48"/>
      <c r="G352" s="48"/>
    </row>
    <row r="353">
      <c r="F353" s="48"/>
      <c r="G353" s="48"/>
    </row>
    <row r="354">
      <c r="F354" s="48"/>
      <c r="G354" s="48"/>
    </row>
    <row r="355">
      <c r="F355" s="48"/>
      <c r="G355" s="48"/>
    </row>
    <row r="356">
      <c r="F356" s="48"/>
      <c r="G356" s="48"/>
    </row>
    <row r="357">
      <c r="F357" s="48"/>
      <c r="G357" s="48"/>
    </row>
    <row r="358">
      <c r="F358" s="48"/>
      <c r="G358" s="48"/>
    </row>
    <row r="359">
      <c r="F359" s="48"/>
      <c r="G359" s="48"/>
    </row>
    <row r="360">
      <c r="F360" s="48"/>
      <c r="G360" s="48"/>
    </row>
    <row r="361">
      <c r="F361" s="48"/>
      <c r="G361" s="48"/>
    </row>
    <row r="362">
      <c r="F362" s="48"/>
      <c r="G362" s="48"/>
    </row>
    <row r="363">
      <c r="F363" s="48"/>
      <c r="G363" s="48"/>
    </row>
    <row r="364">
      <c r="F364" s="48"/>
      <c r="G364" s="48"/>
    </row>
    <row r="365">
      <c r="F365" s="48"/>
      <c r="G365" s="48"/>
    </row>
    <row r="366">
      <c r="F366" s="48"/>
      <c r="G366" s="48"/>
    </row>
    <row r="367">
      <c r="F367" s="48"/>
      <c r="G367" s="48"/>
    </row>
    <row r="368">
      <c r="F368" s="48"/>
      <c r="G368" s="48"/>
    </row>
    <row r="369">
      <c r="F369" s="48"/>
      <c r="G369" s="48"/>
    </row>
    <row r="370">
      <c r="F370" s="48"/>
      <c r="G370" s="48"/>
    </row>
    <row r="371">
      <c r="F371" s="48"/>
      <c r="G371" s="48"/>
    </row>
    <row r="372">
      <c r="F372" s="48"/>
      <c r="G372" s="48"/>
    </row>
    <row r="373">
      <c r="F373" s="48"/>
      <c r="G373" s="48"/>
    </row>
    <row r="374">
      <c r="F374" s="48"/>
      <c r="G374" s="48"/>
    </row>
    <row r="375">
      <c r="F375" s="48"/>
      <c r="G375" s="48"/>
    </row>
    <row r="376">
      <c r="F376" s="48"/>
      <c r="G376" s="48"/>
    </row>
    <row r="377">
      <c r="F377" s="48"/>
      <c r="G377" s="48"/>
    </row>
    <row r="378">
      <c r="F378" s="48"/>
      <c r="G378" s="48"/>
    </row>
    <row r="379">
      <c r="F379" s="48"/>
      <c r="G379" s="48"/>
    </row>
    <row r="380">
      <c r="F380" s="48"/>
      <c r="G380" s="48"/>
    </row>
    <row r="381">
      <c r="F381" s="48"/>
      <c r="G381" s="48"/>
    </row>
    <row r="382">
      <c r="F382" s="48"/>
      <c r="G382" s="48"/>
    </row>
    <row r="383">
      <c r="F383" s="48"/>
      <c r="G383" s="48"/>
    </row>
    <row r="384">
      <c r="F384" s="48"/>
      <c r="G384" s="48"/>
    </row>
    <row r="385">
      <c r="F385" s="48"/>
      <c r="G385" s="48"/>
    </row>
    <row r="386">
      <c r="F386" s="48"/>
      <c r="G386" s="48"/>
    </row>
    <row r="387">
      <c r="F387" s="48"/>
      <c r="G387" s="48"/>
    </row>
    <row r="388">
      <c r="F388" s="48"/>
      <c r="G388" s="48"/>
    </row>
    <row r="389">
      <c r="F389" s="48"/>
      <c r="G389" s="48"/>
    </row>
    <row r="390">
      <c r="F390" s="48"/>
      <c r="G390" s="48"/>
    </row>
    <row r="391">
      <c r="F391" s="48"/>
      <c r="G391" s="48"/>
    </row>
    <row r="392">
      <c r="F392" s="48"/>
      <c r="G392" s="48"/>
    </row>
    <row r="393">
      <c r="F393" s="48"/>
      <c r="G393" s="48"/>
    </row>
    <row r="394">
      <c r="F394" s="48"/>
      <c r="G394" s="48"/>
    </row>
    <row r="395">
      <c r="F395" s="48"/>
      <c r="G395" s="48"/>
    </row>
    <row r="396">
      <c r="F396" s="48"/>
      <c r="G396" s="48"/>
    </row>
    <row r="397">
      <c r="F397" s="48"/>
      <c r="G397" s="48"/>
    </row>
    <row r="398">
      <c r="F398" s="48"/>
      <c r="G398" s="48"/>
    </row>
    <row r="399">
      <c r="F399" s="48"/>
      <c r="G399" s="48"/>
    </row>
    <row r="400">
      <c r="F400" s="48"/>
      <c r="G400" s="48"/>
    </row>
    <row r="401">
      <c r="F401" s="48"/>
      <c r="G401" s="48"/>
    </row>
    <row r="402">
      <c r="F402" s="48"/>
      <c r="G402" s="48"/>
    </row>
    <row r="403">
      <c r="F403" s="48"/>
      <c r="G403" s="48"/>
    </row>
    <row r="404">
      <c r="F404" s="48"/>
      <c r="G404" s="48"/>
    </row>
    <row r="405">
      <c r="F405" s="48"/>
      <c r="G405" s="48"/>
    </row>
    <row r="406">
      <c r="F406" s="48"/>
      <c r="G406" s="48"/>
    </row>
    <row r="407">
      <c r="F407" s="48"/>
      <c r="G407" s="48"/>
    </row>
    <row r="408">
      <c r="F408" s="48"/>
      <c r="G408" s="48"/>
    </row>
    <row r="409">
      <c r="F409" s="48"/>
      <c r="G409" s="48"/>
    </row>
    <row r="410">
      <c r="F410" s="48"/>
      <c r="G410" s="48"/>
    </row>
    <row r="411">
      <c r="F411" s="48"/>
      <c r="G411" s="48"/>
    </row>
    <row r="412">
      <c r="F412" s="48"/>
      <c r="G412" s="48"/>
    </row>
    <row r="413">
      <c r="F413" s="48"/>
      <c r="G413" s="48"/>
    </row>
    <row r="414">
      <c r="F414" s="48"/>
      <c r="G414" s="48"/>
    </row>
    <row r="415">
      <c r="F415" s="48"/>
      <c r="G415" s="48"/>
    </row>
    <row r="416">
      <c r="F416" s="48"/>
      <c r="G416" s="48"/>
    </row>
    <row r="417">
      <c r="F417" s="48"/>
      <c r="G417" s="48"/>
    </row>
    <row r="418">
      <c r="F418" s="48"/>
      <c r="G418" s="48"/>
    </row>
    <row r="419">
      <c r="F419" s="48"/>
      <c r="G419" s="48"/>
    </row>
    <row r="420">
      <c r="F420" s="48"/>
      <c r="G420" s="48"/>
    </row>
    <row r="421">
      <c r="F421" s="48"/>
      <c r="G421" s="48"/>
    </row>
    <row r="422">
      <c r="F422" s="48"/>
      <c r="G422" s="48"/>
    </row>
    <row r="423">
      <c r="F423" s="48"/>
      <c r="G423" s="48"/>
    </row>
    <row r="424">
      <c r="F424" s="48"/>
      <c r="G424" s="48"/>
    </row>
    <row r="425">
      <c r="F425" s="48"/>
      <c r="G425" s="48"/>
    </row>
    <row r="426">
      <c r="F426" s="48"/>
      <c r="G426" s="48"/>
    </row>
    <row r="427">
      <c r="F427" s="48"/>
      <c r="G427" s="48"/>
    </row>
    <row r="428">
      <c r="F428" s="48"/>
      <c r="G428" s="48"/>
    </row>
    <row r="429">
      <c r="F429" s="48"/>
      <c r="G429" s="48"/>
    </row>
    <row r="430">
      <c r="F430" s="48"/>
      <c r="G430" s="48"/>
    </row>
    <row r="431">
      <c r="F431" s="48"/>
      <c r="G431" s="48"/>
    </row>
    <row r="432">
      <c r="F432" s="48"/>
      <c r="G432" s="48"/>
    </row>
    <row r="433">
      <c r="F433" s="48"/>
      <c r="G433" s="48"/>
    </row>
    <row r="434">
      <c r="F434" s="48"/>
      <c r="G434" s="48"/>
    </row>
    <row r="435">
      <c r="F435" s="48"/>
      <c r="G435" s="48"/>
    </row>
    <row r="436">
      <c r="F436" s="48"/>
      <c r="G436" s="48"/>
    </row>
    <row r="437">
      <c r="F437" s="48"/>
      <c r="G437" s="48"/>
    </row>
    <row r="438">
      <c r="F438" s="48"/>
      <c r="G438" s="48"/>
    </row>
    <row r="439">
      <c r="F439" s="48"/>
      <c r="G439" s="48"/>
    </row>
    <row r="440">
      <c r="F440" s="48"/>
      <c r="G440" s="48"/>
    </row>
    <row r="441">
      <c r="F441" s="48"/>
      <c r="G441" s="48"/>
    </row>
    <row r="442">
      <c r="F442" s="48"/>
      <c r="G442" s="48"/>
    </row>
    <row r="443">
      <c r="F443" s="48"/>
      <c r="G443" s="48"/>
    </row>
    <row r="444">
      <c r="F444" s="48"/>
      <c r="G444" s="48"/>
    </row>
    <row r="445">
      <c r="F445" s="48"/>
      <c r="G445" s="48"/>
    </row>
    <row r="446">
      <c r="F446" s="48"/>
      <c r="G446" s="48"/>
    </row>
    <row r="447">
      <c r="F447" s="48"/>
      <c r="G447" s="48"/>
    </row>
    <row r="448">
      <c r="F448" s="48"/>
      <c r="G448" s="48"/>
    </row>
    <row r="449">
      <c r="F449" s="48"/>
      <c r="G449" s="48"/>
    </row>
    <row r="450">
      <c r="F450" s="48"/>
      <c r="G450" s="48"/>
    </row>
    <row r="451">
      <c r="F451" s="48"/>
      <c r="G451" s="48"/>
    </row>
    <row r="452">
      <c r="F452" s="48"/>
      <c r="G452" s="48"/>
    </row>
    <row r="453">
      <c r="F453" s="48"/>
      <c r="G453" s="48"/>
    </row>
    <row r="454">
      <c r="F454" s="48"/>
      <c r="G454" s="48"/>
    </row>
    <row r="455">
      <c r="F455" s="48"/>
      <c r="G455" s="48"/>
    </row>
    <row r="456">
      <c r="F456" s="48"/>
      <c r="G456" s="48"/>
    </row>
    <row r="457">
      <c r="F457" s="48"/>
      <c r="G457" s="48"/>
    </row>
    <row r="458">
      <c r="F458" s="48"/>
      <c r="G458" s="48"/>
    </row>
    <row r="459">
      <c r="F459" s="48"/>
      <c r="G459" s="48"/>
    </row>
    <row r="460">
      <c r="F460" s="48"/>
      <c r="G460" s="48"/>
    </row>
    <row r="461">
      <c r="F461" s="48"/>
      <c r="G461" s="48"/>
    </row>
    <row r="462">
      <c r="F462" s="48"/>
      <c r="G462" s="48"/>
    </row>
    <row r="463">
      <c r="F463" s="48"/>
      <c r="G463" s="48"/>
    </row>
    <row r="464">
      <c r="F464" s="48"/>
      <c r="G464" s="48"/>
    </row>
    <row r="465">
      <c r="F465" s="48"/>
      <c r="G465" s="48"/>
    </row>
    <row r="466">
      <c r="F466" s="48"/>
      <c r="G466" s="48"/>
    </row>
    <row r="467">
      <c r="F467" s="48"/>
      <c r="G467" s="48"/>
    </row>
    <row r="468">
      <c r="F468" s="48"/>
      <c r="G468" s="48"/>
    </row>
    <row r="469">
      <c r="F469" s="48"/>
      <c r="G469" s="48"/>
    </row>
    <row r="470">
      <c r="F470" s="48"/>
      <c r="G470" s="48"/>
    </row>
    <row r="471">
      <c r="F471" s="48"/>
      <c r="G471" s="48"/>
    </row>
    <row r="472">
      <c r="F472" s="48"/>
      <c r="G472" s="48"/>
    </row>
    <row r="473">
      <c r="F473" s="48"/>
      <c r="G473" s="48"/>
    </row>
    <row r="474">
      <c r="F474" s="48"/>
      <c r="G474" s="48"/>
    </row>
    <row r="475">
      <c r="F475" s="48"/>
      <c r="G475" s="48"/>
    </row>
    <row r="476">
      <c r="F476" s="48"/>
      <c r="G476" s="48"/>
    </row>
    <row r="477">
      <c r="F477" s="48"/>
      <c r="G477" s="48"/>
    </row>
    <row r="478">
      <c r="F478" s="48"/>
      <c r="G478" s="48"/>
    </row>
    <row r="479">
      <c r="F479" s="48"/>
      <c r="G479" s="48"/>
    </row>
    <row r="480">
      <c r="F480" s="48"/>
      <c r="G480" s="48"/>
    </row>
    <row r="481">
      <c r="F481" s="48"/>
      <c r="G481" s="48"/>
    </row>
    <row r="482">
      <c r="F482" s="48"/>
      <c r="G482" s="48"/>
    </row>
    <row r="483">
      <c r="F483" s="48"/>
      <c r="G483" s="48"/>
    </row>
    <row r="484">
      <c r="F484" s="48"/>
      <c r="G484" s="48"/>
    </row>
    <row r="485">
      <c r="F485" s="48"/>
      <c r="G485" s="48"/>
    </row>
    <row r="486">
      <c r="F486" s="48"/>
      <c r="G486" s="48"/>
    </row>
    <row r="487">
      <c r="F487" s="48"/>
      <c r="G487" s="48"/>
    </row>
    <row r="488">
      <c r="F488" s="48"/>
      <c r="G488" s="48"/>
    </row>
    <row r="489">
      <c r="F489" s="48"/>
      <c r="G489" s="48"/>
    </row>
    <row r="490">
      <c r="F490" s="48"/>
      <c r="G490" s="48"/>
    </row>
    <row r="491">
      <c r="F491" s="48"/>
      <c r="G491" s="48"/>
    </row>
    <row r="492">
      <c r="F492" s="48"/>
      <c r="G492" s="48"/>
    </row>
    <row r="493">
      <c r="F493" s="48"/>
      <c r="G493" s="48"/>
    </row>
    <row r="494">
      <c r="F494" s="48"/>
      <c r="G494" s="48"/>
    </row>
    <row r="495">
      <c r="F495" s="48"/>
      <c r="G495" s="48"/>
    </row>
    <row r="496">
      <c r="F496" s="48"/>
      <c r="G496" s="48"/>
    </row>
    <row r="497">
      <c r="F497" s="48"/>
      <c r="G497" s="48"/>
    </row>
    <row r="498">
      <c r="F498" s="48"/>
      <c r="G498" s="48"/>
    </row>
    <row r="499">
      <c r="F499" s="48"/>
      <c r="G499" s="48"/>
    </row>
    <row r="500">
      <c r="F500" s="48"/>
      <c r="G500" s="48"/>
    </row>
    <row r="501">
      <c r="F501" s="48"/>
      <c r="G501" s="48"/>
    </row>
    <row r="502">
      <c r="F502" s="48"/>
      <c r="G502" s="48"/>
    </row>
    <row r="503">
      <c r="F503" s="48"/>
      <c r="G503" s="48"/>
    </row>
    <row r="504">
      <c r="F504" s="48"/>
      <c r="G504" s="48"/>
    </row>
    <row r="505">
      <c r="F505" s="48"/>
      <c r="G505" s="48"/>
    </row>
    <row r="506">
      <c r="F506" s="48"/>
      <c r="G506" s="48"/>
    </row>
    <row r="507">
      <c r="F507" s="48"/>
      <c r="G507" s="48"/>
    </row>
    <row r="508">
      <c r="F508" s="48"/>
      <c r="G508" s="48"/>
    </row>
    <row r="509">
      <c r="F509" s="48"/>
      <c r="G509" s="48"/>
    </row>
    <row r="510">
      <c r="F510" s="48"/>
      <c r="G510" s="48"/>
    </row>
    <row r="511">
      <c r="F511" s="48"/>
      <c r="G511" s="48"/>
    </row>
    <row r="512">
      <c r="F512" s="48"/>
      <c r="G512" s="48"/>
    </row>
    <row r="513">
      <c r="F513" s="48"/>
      <c r="G513" s="48"/>
    </row>
    <row r="514">
      <c r="F514" s="48"/>
      <c r="G514" s="48"/>
    </row>
    <row r="515">
      <c r="F515" s="48"/>
      <c r="G515" s="48"/>
    </row>
    <row r="516">
      <c r="F516" s="48"/>
      <c r="G516" s="48"/>
    </row>
    <row r="517">
      <c r="F517" s="48"/>
      <c r="G517" s="48"/>
    </row>
    <row r="518">
      <c r="F518" s="48"/>
      <c r="G518" s="48"/>
    </row>
    <row r="519">
      <c r="F519" s="48"/>
      <c r="G519" s="48"/>
    </row>
    <row r="520">
      <c r="F520" s="48"/>
      <c r="G520" s="48"/>
    </row>
    <row r="521">
      <c r="F521" s="48"/>
      <c r="G521" s="48"/>
    </row>
    <row r="522">
      <c r="F522" s="48"/>
      <c r="G522" s="48"/>
    </row>
    <row r="523">
      <c r="F523" s="48"/>
      <c r="G523" s="48"/>
    </row>
    <row r="524">
      <c r="F524" s="48"/>
      <c r="G524" s="48"/>
    </row>
    <row r="525">
      <c r="F525" s="48"/>
      <c r="G525" s="48"/>
    </row>
    <row r="526">
      <c r="F526" s="48"/>
      <c r="G526" s="48"/>
    </row>
    <row r="527">
      <c r="F527" s="48"/>
      <c r="G527" s="48"/>
    </row>
    <row r="528">
      <c r="F528" s="48"/>
      <c r="G528" s="48"/>
    </row>
    <row r="529">
      <c r="F529" s="48"/>
      <c r="G529" s="48"/>
    </row>
    <row r="530">
      <c r="F530" s="48"/>
      <c r="G530" s="48"/>
    </row>
    <row r="531">
      <c r="F531" s="48"/>
      <c r="G531" s="48"/>
    </row>
    <row r="532">
      <c r="F532" s="48"/>
      <c r="G532" s="48"/>
    </row>
    <row r="533">
      <c r="F533" s="48"/>
      <c r="G533" s="48"/>
    </row>
    <row r="534">
      <c r="F534" s="48"/>
      <c r="G534" s="48"/>
    </row>
    <row r="535">
      <c r="F535" s="48"/>
      <c r="G535" s="48"/>
    </row>
    <row r="536">
      <c r="F536" s="48"/>
      <c r="G536" s="48"/>
    </row>
    <row r="537">
      <c r="F537" s="48"/>
      <c r="G537" s="48"/>
    </row>
    <row r="538">
      <c r="F538" s="48"/>
      <c r="G538" s="48"/>
    </row>
    <row r="539">
      <c r="F539" s="48"/>
      <c r="G539" s="48"/>
    </row>
    <row r="540">
      <c r="F540" s="48"/>
      <c r="G540" s="48"/>
    </row>
    <row r="541">
      <c r="F541" s="48"/>
      <c r="G541" s="48"/>
    </row>
    <row r="542">
      <c r="F542" s="48"/>
      <c r="G542" s="48"/>
    </row>
    <row r="543">
      <c r="F543" s="48"/>
      <c r="G543" s="48"/>
    </row>
    <row r="544">
      <c r="F544" s="48"/>
      <c r="G544" s="48"/>
    </row>
    <row r="545">
      <c r="F545" s="48"/>
      <c r="G545" s="48"/>
    </row>
    <row r="546">
      <c r="F546" s="48"/>
      <c r="G546" s="48"/>
    </row>
    <row r="547">
      <c r="F547" s="48"/>
      <c r="G547" s="48"/>
    </row>
    <row r="548">
      <c r="F548" s="48"/>
      <c r="G548" s="48"/>
    </row>
    <row r="549">
      <c r="F549" s="48"/>
      <c r="G549" s="48"/>
    </row>
    <row r="550">
      <c r="F550" s="48"/>
      <c r="G550" s="48"/>
    </row>
    <row r="551">
      <c r="F551" s="48"/>
      <c r="G551" s="48"/>
    </row>
    <row r="552">
      <c r="F552" s="48"/>
      <c r="G552" s="48"/>
    </row>
    <row r="553">
      <c r="F553" s="48"/>
      <c r="G553" s="48"/>
    </row>
    <row r="554">
      <c r="F554" s="48"/>
      <c r="G554" s="48"/>
    </row>
    <row r="555">
      <c r="F555" s="48"/>
      <c r="G555" s="48"/>
    </row>
    <row r="556">
      <c r="F556" s="48"/>
      <c r="G556" s="48"/>
    </row>
    <row r="557">
      <c r="F557" s="48"/>
      <c r="G557" s="48"/>
    </row>
    <row r="558">
      <c r="F558" s="48"/>
      <c r="G558" s="48"/>
    </row>
    <row r="559">
      <c r="F559" s="48"/>
      <c r="G559" s="48"/>
    </row>
    <row r="560">
      <c r="F560" s="48"/>
      <c r="G560" s="48"/>
    </row>
    <row r="561">
      <c r="F561" s="48"/>
      <c r="G561" s="48"/>
    </row>
    <row r="562">
      <c r="F562" s="48"/>
      <c r="G562" s="48"/>
    </row>
    <row r="563">
      <c r="F563" s="48"/>
      <c r="G563" s="48"/>
    </row>
    <row r="564">
      <c r="F564" s="48"/>
      <c r="G564" s="48"/>
    </row>
    <row r="565">
      <c r="F565" s="48"/>
      <c r="G565" s="48"/>
    </row>
    <row r="566">
      <c r="F566" s="48"/>
      <c r="G566" s="48"/>
    </row>
    <row r="567">
      <c r="F567" s="48"/>
      <c r="G567" s="48"/>
    </row>
    <row r="568">
      <c r="F568" s="48"/>
      <c r="G568" s="48"/>
    </row>
    <row r="569">
      <c r="F569" s="48"/>
      <c r="G569" s="48"/>
    </row>
    <row r="570">
      <c r="F570" s="48"/>
      <c r="G570" s="48"/>
    </row>
    <row r="571">
      <c r="F571" s="48"/>
      <c r="G571" s="48"/>
    </row>
    <row r="572">
      <c r="F572" s="48"/>
      <c r="G572" s="48"/>
    </row>
    <row r="573">
      <c r="F573" s="48"/>
      <c r="G573" s="48"/>
    </row>
    <row r="574">
      <c r="F574" s="48"/>
      <c r="G574" s="48"/>
    </row>
    <row r="575">
      <c r="F575" s="48"/>
      <c r="G575" s="48"/>
    </row>
    <row r="576">
      <c r="F576" s="48"/>
      <c r="G576" s="48"/>
    </row>
    <row r="577">
      <c r="F577" s="48"/>
      <c r="G577" s="48"/>
    </row>
    <row r="578">
      <c r="F578" s="48"/>
      <c r="G578" s="48"/>
    </row>
    <row r="579">
      <c r="F579" s="48"/>
      <c r="G579" s="48"/>
    </row>
    <row r="580">
      <c r="F580" s="48"/>
      <c r="G580" s="48"/>
    </row>
    <row r="581">
      <c r="F581" s="48"/>
      <c r="G581" s="48"/>
    </row>
    <row r="582">
      <c r="F582" s="48"/>
      <c r="G582" s="48"/>
    </row>
    <row r="583">
      <c r="F583" s="48"/>
      <c r="G583" s="48"/>
    </row>
    <row r="584">
      <c r="F584" s="48"/>
      <c r="G584" s="48"/>
    </row>
    <row r="585">
      <c r="F585" s="48"/>
      <c r="G585" s="48"/>
    </row>
    <row r="586">
      <c r="F586" s="48"/>
      <c r="G586" s="48"/>
    </row>
    <row r="587">
      <c r="F587" s="48"/>
      <c r="G587" s="48"/>
    </row>
    <row r="588">
      <c r="F588" s="48"/>
      <c r="G588" s="48"/>
    </row>
    <row r="589">
      <c r="F589" s="48"/>
      <c r="G589" s="48"/>
    </row>
    <row r="590">
      <c r="F590" s="48"/>
      <c r="G590" s="48"/>
    </row>
    <row r="591">
      <c r="F591" s="48"/>
      <c r="G591" s="48"/>
    </row>
    <row r="592">
      <c r="F592" s="48"/>
      <c r="G592" s="48"/>
    </row>
    <row r="593">
      <c r="F593" s="48"/>
      <c r="G593" s="48"/>
    </row>
    <row r="594">
      <c r="F594" s="48"/>
      <c r="G594" s="48"/>
    </row>
    <row r="595">
      <c r="F595" s="48"/>
      <c r="G595" s="48"/>
    </row>
    <row r="596">
      <c r="F596" s="48"/>
      <c r="G596" s="48"/>
    </row>
    <row r="597">
      <c r="F597" s="48"/>
      <c r="G597" s="48"/>
    </row>
    <row r="598">
      <c r="F598" s="48"/>
      <c r="G598" s="48"/>
    </row>
    <row r="599">
      <c r="F599" s="48"/>
      <c r="G599" s="48"/>
    </row>
    <row r="600">
      <c r="F600" s="48"/>
      <c r="G600" s="48"/>
    </row>
    <row r="601">
      <c r="F601" s="48"/>
      <c r="G601" s="48"/>
    </row>
    <row r="602">
      <c r="F602" s="48"/>
      <c r="G602" s="48"/>
    </row>
    <row r="603">
      <c r="F603" s="48"/>
      <c r="G603" s="48"/>
    </row>
    <row r="604">
      <c r="F604" s="48"/>
      <c r="G604" s="48"/>
    </row>
    <row r="605">
      <c r="F605" s="48"/>
      <c r="G605" s="48"/>
    </row>
    <row r="606">
      <c r="F606" s="48"/>
      <c r="G606" s="48"/>
    </row>
    <row r="607">
      <c r="F607" s="48"/>
      <c r="G607" s="48"/>
    </row>
    <row r="608">
      <c r="F608" s="48"/>
      <c r="G608" s="48"/>
    </row>
    <row r="609">
      <c r="F609" s="48"/>
      <c r="G609" s="48"/>
    </row>
    <row r="610">
      <c r="F610" s="48"/>
      <c r="G610" s="48"/>
    </row>
    <row r="611">
      <c r="F611" s="48"/>
      <c r="G611" s="48"/>
    </row>
    <row r="612">
      <c r="F612" s="48"/>
      <c r="G612" s="48"/>
    </row>
    <row r="613">
      <c r="F613" s="48"/>
      <c r="G613" s="48"/>
    </row>
    <row r="614">
      <c r="F614" s="48"/>
      <c r="G614" s="48"/>
    </row>
    <row r="615">
      <c r="F615" s="48"/>
      <c r="G615" s="48"/>
    </row>
    <row r="616">
      <c r="F616" s="48"/>
      <c r="G616" s="48"/>
    </row>
    <row r="617">
      <c r="F617" s="48"/>
      <c r="G617" s="48"/>
    </row>
    <row r="618">
      <c r="F618" s="48"/>
      <c r="G618" s="48"/>
    </row>
    <row r="619">
      <c r="F619" s="48"/>
      <c r="G619" s="48"/>
    </row>
    <row r="620">
      <c r="F620" s="48"/>
      <c r="G620" s="48"/>
    </row>
    <row r="621">
      <c r="F621" s="48"/>
      <c r="G621" s="48"/>
    </row>
    <row r="622">
      <c r="F622" s="48"/>
      <c r="G622" s="48"/>
    </row>
    <row r="623">
      <c r="F623" s="48"/>
      <c r="G623" s="48"/>
    </row>
    <row r="624">
      <c r="F624" s="48"/>
      <c r="G624" s="48"/>
    </row>
    <row r="625">
      <c r="F625" s="48"/>
      <c r="G625" s="48"/>
    </row>
    <row r="626">
      <c r="F626" s="48"/>
      <c r="G626" s="48"/>
    </row>
    <row r="627">
      <c r="F627" s="48"/>
      <c r="G627" s="48"/>
    </row>
    <row r="628">
      <c r="F628" s="48"/>
      <c r="G628" s="48"/>
    </row>
    <row r="629">
      <c r="F629" s="48"/>
      <c r="G629" s="48"/>
    </row>
    <row r="630">
      <c r="F630" s="48"/>
      <c r="G630" s="48"/>
    </row>
    <row r="631">
      <c r="F631" s="48"/>
      <c r="G631" s="48"/>
    </row>
    <row r="632">
      <c r="F632" s="48"/>
      <c r="G632" s="48"/>
    </row>
    <row r="633">
      <c r="F633" s="48"/>
      <c r="G633" s="48"/>
    </row>
    <row r="634">
      <c r="F634" s="48"/>
      <c r="G634" s="48"/>
    </row>
    <row r="635">
      <c r="F635" s="48"/>
      <c r="G635" s="48"/>
    </row>
    <row r="636">
      <c r="F636" s="48"/>
      <c r="G636" s="48"/>
    </row>
    <row r="637">
      <c r="F637" s="48"/>
      <c r="G637" s="48"/>
    </row>
    <row r="638">
      <c r="F638" s="48"/>
      <c r="G638" s="48"/>
    </row>
    <row r="639">
      <c r="F639" s="48"/>
      <c r="G639" s="48"/>
    </row>
    <row r="640">
      <c r="F640" s="48"/>
      <c r="G640" s="48"/>
    </row>
    <row r="641">
      <c r="F641" s="48"/>
      <c r="G641" s="48"/>
    </row>
    <row r="642">
      <c r="F642" s="48"/>
      <c r="G642" s="48"/>
    </row>
    <row r="643">
      <c r="F643" s="48"/>
      <c r="G643" s="48"/>
    </row>
    <row r="644">
      <c r="F644" s="48"/>
      <c r="G644" s="48"/>
    </row>
    <row r="645">
      <c r="F645" s="48"/>
      <c r="G645" s="48"/>
    </row>
    <row r="646">
      <c r="F646" s="48"/>
      <c r="G646" s="48"/>
    </row>
    <row r="647">
      <c r="F647" s="48"/>
      <c r="G647" s="48"/>
    </row>
    <row r="648">
      <c r="F648" s="48"/>
      <c r="G648" s="48"/>
    </row>
    <row r="649">
      <c r="F649" s="48"/>
      <c r="G649" s="48"/>
    </row>
    <row r="650">
      <c r="F650" s="48"/>
      <c r="G650" s="48"/>
    </row>
    <row r="651">
      <c r="F651" s="48"/>
      <c r="G651" s="48"/>
    </row>
    <row r="652">
      <c r="F652" s="48"/>
      <c r="G652" s="48"/>
    </row>
    <row r="653">
      <c r="F653" s="48"/>
      <c r="G653" s="48"/>
    </row>
    <row r="654">
      <c r="F654" s="48"/>
      <c r="G654" s="48"/>
    </row>
    <row r="655">
      <c r="F655" s="48"/>
      <c r="G655" s="48"/>
    </row>
    <row r="656">
      <c r="F656" s="48"/>
      <c r="G656" s="48"/>
    </row>
    <row r="657">
      <c r="F657" s="48"/>
      <c r="G657" s="48"/>
    </row>
    <row r="658">
      <c r="F658" s="48"/>
      <c r="G658" s="48"/>
    </row>
    <row r="659">
      <c r="F659" s="48"/>
      <c r="G659" s="48"/>
    </row>
    <row r="660">
      <c r="F660" s="48"/>
      <c r="G660" s="48"/>
    </row>
    <row r="661">
      <c r="F661" s="48"/>
      <c r="G661" s="48"/>
    </row>
    <row r="662">
      <c r="F662" s="48"/>
      <c r="G662" s="48"/>
    </row>
    <row r="663">
      <c r="F663" s="48"/>
      <c r="G663" s="48"/>
    </row>
    <row r="664">
      <c r="F664" s="48"/>
      <c r="G664" s="48"/>
    </row>
    <row r="665">
      <c r="F665" s="48"/>
      <c r="G665" s="48"/>
    </row>
    <row r="666">
      <c r="F666" s="48"/>
      <c r="G666" s="48"/>
    </row>
    <row r="667">
      <c r="F667" s="48"/>
      <c r="G667" s="48"/>
    </row>
    <row r="668">
      <c r="F668" s="48"/>
      <c r="G668" s="48"/>
    </row>
    <row r="669">
      <c r="F669" s="48"/>
      <c r="G669" s="48"/>
    </row>
    <row r="670">
      <c r="F670" s="48"/>
      <c r="G670" s="48"/>
    </row>
    <row r="671">
      <c r="F671" s="48"/>
      <c r="G671" s="48"/>
    </row>
    <row r="672">
      <c r="F672" s="48"/>
      <c r="G672" s="48"/>
    </row>
    <row r="673">
      <c r="F673" s="48"/>
      <c r="G673" s="48"/>
    </row>
    <row r="674">
      <c r="F674" s="48"/>
      <c r="G674" s="48"/>
    </row>
    <row r="675">
      <c r="F675" s="48"/>
      <c r="G675" s="48"/>
    </row>
    <row r="676">
      <c r="F676" s="48"/>
      <c r="G676" s="48"/>
    </row>
    <row r="677">
      <c r="F677" s="48"/>
      <c r="G677" s="48"/>
    </row>
    <row r="678">
      <c r="F678" s="48"/>
      <c r="G678" s="48"/>
    </row>
    <row r="679">
      <c r="F679" s="48"/>
      <c r="G679" s="48"/>
    </row>
    <row r="680">
      <c r="F680" s="48"/>
      <c r="G680" s="48"/>
    </row>
    <row r="681">
      <c r="F681" s="48"/>
      <c r="G681" s="48"/>
    </row>
    <row r="682">
      <c r="F682" s="48"/>
      <c r="G682" s="48"/>
    </row>
    <row r="683">
      <c r="F683" s="48"/>
      <c r="G683" s="48"/>
    </row>
    <row r="684">
      <c r="F684" s="48"/>
      <c r="G684" s="48"/>
    </row>
    <row r="685">
      <c r="F685" s="48"/>
      <c r="G685" s="48"/>
    </row>
    <row r="686">
      <c r="F686" s="48"/>
      <c r="G686" s="48"/>
    </row>
    <row r="687">
      <c r="F687" s="48"/>
      <c r="G687" s="48"/>
    </row>
    <row r="688">
      <c r="F688" s="48"/>
      <c r="G688" s="48"/>
    </row>
    <row r="689">
      <c r="F689" s="48"/>
      <c r="G689" s="48"/>
    </row>
    <row r="690">
      <c r="F690" s="48"/>
      <c r="G690" s="48"/>
    </row>
    <row r="691">
      <c r="F691" s="48"/>
      <c r="G691" s="48"/>
    </row>
    <row r="692">
      <c r="F692" s="48"/>
      <c r="G692" s="48"/>
    </row>
    <row r="693">
      <c r="F693" s="48"/>
      <c r="G693" s="48"/>
    </row>
    <row r="694">
      <c r="F694" s="48"/>
      <c r="G694" s="48"/>
    </row>
    <row r="695">
      <c r="F695" s="48"/>
      <c r="G695" s="48"/>
    </row>
    <row r="696">
      <c r="F696" s="48"/>
      <c r="G696" s="48"/>
    </row>
    <row r="697">
      <c r="F697" s="48"/>
      <c r="G697" s="48"/>
    </row>
    <row r="698">
      <c r="F698" s="48"/>
      <c r="G698" s="48"/>
    </row>
    <row r="699">
      <c r="F699" s="48"/>
      <c r="G699" s="48"/>
    </row>
    <row r="700">
      <c r="F700" s="48"/>
      <c r="G700" s="48"/>
    </row>
    <row r="701">
      <c r="F701" s="48"/>
      <c r="G701" s="48"/>
    </row>
    <row r="702">
      <c r="F702" s="48"/>
      <c r="G702" s="48"/>
    </row>
    <row r="703">
      <c r="F703" s="48"/>
      <c r="G703" s="48"/>
    </row>
    <row r="704">
      <c r="F704" s="48"/>
      <c r="G704" s="48"/>
    </row>
    <row r="705">
      <c r="F705" s="48"/>
      <c r="G705" s="48"/>
    </row>
    <row r="706">
      <c r="F706" s="48"/>
      <c r="G706" s="48"/>
    </row>
    <row r="707">
      <c r="F707" s="48"/>
      <c r="G707" s="48"/>
    </row>
    <row r="708">
      <c r="F708" s="48"/>
      <c r="G708" s="48"/>
    </row>
    <row r="709">
      <c r="F709" s="48"/>
      <c r="G709" s="48"/>
    </row>
    <row r="710">
      <c r="F710" s="48"/>
      <c r="G710" s="48"/>
    </row>
    <row r="711">
      <c r="F711" s="48"/>
      <c r="G711" s="48"/>
    </row>
    <row r="712">
      <c r="F712" s="48"/>
      <c r="G712" s="48"/>
    </row>
    <row r="713">
      <c r="F713" s="48"/>
      <c r="G713" s="48"/>
    </row>
    <row r="714">
      <c r="F714" s="48"/>
      <c r="G714" s="48"/>
    </row>
    <row r="715">
      <c r="F715" s="48"/>
      <c r="G715" s="48"/>
    </row>
    <row r="716">
      <c r="F716" s="48"/>
      <c r="G716" s="48"/>
    </row>
    <row r="717">
      <c r="F717" s="48"/>
      <c r="G717" s="48"/>
    </row>
    <row r="718">
      <c r="F718" s="48"/>
      <c r="G718" s="48"/>
    </row>
    <row r="719">
      <c r="F719" s="48"/>
      <c r="G719" s="48"/>
    </row>
    <row r="720">
      <c r="F720" s="48"/>
      <c r="G720" s="48"/>
    </row>
    <row r="721">
      <c r="F721" s="48"/>
      <c r="G721" s="48"/>
    </row>
    <row r="722">
      <c r="F722" s="48"/>
      <c r="G722" s="48"/>
    </row>
    <row r="723">
      <c r="F723" s="48"/>
      <c r="G723" s="48"/>
    </row>
    <row r="724">
      <c r="F724" s="48"/>
      <c r="G724" s="48"/>
    </row>
    <row r="725">
      <c r="F725" s="48"/>
      <c r="G725" s="48"/>
    </row>
    <row r="726">
      <c r="F726" s="48"/>
      <c r="G726" s="48"/>
    </row>
    <row r="727">
      <c r="F727" s="48"/>
      <c r="G727" s="48"/>
    </row>
    <row r="728">
      <c r="F728" s="48"/>
      <c r="G728" s="48"/>
    </row>
    <row r="729">
      <c r="F729" s="48"/>
      <c r="G729" s="48"/>
    </row>
    <row r="730">
      <c r="F730" s="48"/>
      <c r="G730" s="48"/>
    </row>
    <row r="731">
      <c r="F731" s="48"/>
      <c r="G731" s="48"/>
    </row>
    <row r="732">
      <c r="F732" s="48"/>
      <c r="G732" s="48"/>
    </row>
    <row r="733">
      <c r="F733" s="48"/>
      <c r="G733" s="48"/>
    </row>
    <row r="734">
      <c r="F734" s="48"/>
      <c r="G734" s="48"/>
    </row>
    <row r="735">
      <c r="F735" s="48"/>
      <c r="G735" s="48"/>
    </row>
    <row r="736">
      <c r="F736" s="48"/>
      <c r="G736" s="48"/>
    </row>
    <row r="737">
      <c r="F737" s="48"/>
      <c r="G737" s="48"/>
    </row>
    <row r="738">
      <c r="F738" s="48"/>
      <c r="G738" s="48"/>
    </row>
    <row r="739">
      <c r="F739" s="48"/>
      <c r="G739" s="48"/>
    </row>
    <row r="740">
      <c r="F740" s="48"/>
      <c r="G740" s="48"/>
    </row>
    <row r="741">
      <c r="F741" s="48"/>
      <c r="G741" s="48"/>
    </row>
    <row r="742">
      <c r="F742" s="48"/>
      <c r="G742" s="48"/>
    </row>
    <row r="743">
      <c r="F743" s="48"/>
      <c r="G743" s="48"/>
    </row>
    <row r="744">
      <c r="F744" s="48"/>
      <c r="G744" s="48"/>
    </row>
    <row r="745">
      <c r="F745" s="48"/>
      <c r="G745" s="48"/>
    </row>
    <row r="746">
      <c r="F746" s="48"/>
      <c r="G746" s="48"/>
    </row>
    <row r="747">
      <c r="F747" s="48"/>
      <c r="G747" s="48"/>
    </row>
    <row r="748">
      <c r="F748" s="48"/>
      <c r="G748" s="48"/>
    </row>
    <row r="749">
      <c r="F749" s="48"/>
      <c r="G749" s="48"/>
    </row>
    <row r="750">
      <c r="F750" s="48"/>
      <c r="G750" s="48"/>
    </row>
    <row r="751">
      <c r="F751" s="48"/>
      <c r="G751" s="48"/>
    </row>
    <row r="752">
      <c r="F752" s="48"/>
      <c r="G752" s="48"/>
    </row>
    <row r="753">
      <c r="F753" s="48"/>
      <c r="G753" s="48"/>
    </row>
    <row r="754">
      <c r="F754" s="48"/>
      <c r="G754" s="48"/>
    </row>
    <row r="755">
      <c r="F755" s="48"/>
      <c r="G755" s="48"/>
    </row>
    <row r="756">
      <c r="F756" s="48"/>
      <c r="G756" s="48"/>
    </row>
    <row r="757">
      <c r="F757" s="48"/>
      <c r="G757" s="48"/>
    </row>
    <row r="758">
      <c r="F758" s="48"/>
      <c r="G758" s="48"/>
    </row>
    <row r="759">
      <c r="F759" s="48"/>
      <c r="G759" s="48"/>
    </row>
    <row r="760">
      <c r="F760" s="48"/>
      <c r="G760" s="48"/>
    </row>
    <row r="761">
      <c r="F761" s="48"/>
      <c r="G761" s="48"/>
    </row>
    <row r="762">
      <c r="F762" s="48"/>
      <c r="G762" s="48"/>
    </row>
    <row r="763">
      <c r="F763" s="48"/>
      <c r="G763" s="48"/>
    </row>
    <row r="764">
      <c r="F764" s="48"/>
      <c r="G764" s="48"/>
    </row>
    <row r="765">
      <c r="F765" s="48"/>
      <c r="G765" s="48"/>
    </row>
    <row r="766">
      <c r="F766" s="48"/>
      <c r="G766" s="48"/>
    </row>
    <row r="767">
      <c r="F767" s="48"/>
      <c r="G767" s="48"/>
    </row>
    <row r="768">
      <c r="F768" s="48"/>
      <c r="G768" s="48"/>
    </row>
    <row r="769">
      <c r="F769" s="48"/>
      <c r="G769" s="48"/>
    </row>
    <row r="770">
      <c r="F770" s="48"/>
      <c r="G770" s="48"/>
    </row>
    <row r="771">
      <c r="F771" s="48"/>
      <c r="G771" s="48"/>
    </row>
    <row r="772">
      <c r="F772" s="48"/>
      <c r="G772" s="48"/>
    </row>
    <row r="773">
      <c r="F773" s="48"/>
      <c r="G773" s="48"/>
    </row>
    <row r="774">
      <c r="F774" s="48"/>
      <c r="G774" s="48"/>
    </row>
    <row r="775">
      <c r="F775" s="48"/>
      <c r="G775" s="48"/>
    </row>
    <row r="776">
      <c r="F776" s="48"/>
      <c r="G776" s="48"/>
    </row>
    <row r="777">
      <c r="F777" s="48"/>
      <c r="G777" s="48"/>
    </row>
    <row r="778">
      <c r="F778" s="48"/>
      <c r="G778" s="48"/>
    </row>
    <row r="779">
      <c r="F779" s="48"/>
      <c r="G779" s="48"/>
    </row>
    <row r="780">
      <c r="F780" s="48"/>
      <c r="G780" s="48"/>
    </row>
    <row r="781">
      <c r="F781" s="48"/>
      <c r="G781" s="48"/>
    </row>
    <row r="782">
      <c r="F782" s="48"/>
      <c r="G782" s="48"/>
    </row>
    <row r="783">
      <c r="F783" s="48"/>
      <c r="G783" s="48"/>
    </row>
    <row r="784">
      <c r="F784" s="48"/>
      <c r="G784" s="48"/>
    </row>
    <row r="785">
      <c r="F785" s="48"/>
      <c r="G785" s="48"/>
    </row>
    <row r="786">
      <c r="F786" s="48"/>
      <c r="G786" s="48"/>
    </row>
    <row r="787">
      <c r="F787" s="48"/>
      <c r="G787" s="48"/>
    </row>
    <row r="788">
      <c r="F788" s="48"/>
      <c r="G788" s="48"/>
    </row>
    <row r="789">
      <c r="F789" s="48"/>
      <c r="G789" s="48"/>
    </row>
    <row r="790">
      <c r="F790" s="48"/>
      <c r="G790" s="48"/>
    </row>
    <row r="791">
      <c r="F791" s="48"/>
      <c r="G791" s="48"/>
    </row>
    <row r="792">
      <c r="F792" s="48"/>
      <c r="G792" s="48"/>
    </row>
    <row r="793">
      <c r="F793" s="48"/>
      <c r="G793" s="48"/>
    </row>
    <row r="794">
      <c r="F794" s="48"/>
      <c r="G794" s="48"/>
    </row>
    <row r="795">
      <c r="F795" s="48"/>
      <c r="G795" s="48"/>
    </row>
    <row r="796">
      <c r="F796" s="48"/>
      <c r="G796" s="48"/>
    </row>
    <row r="797">
      <c r="F797" s="48"/>
      <c r="G797" s="48"/>
    </row>
    <row r="798">
      <c r="F798" s="48"/>
      <c r="G798" s="48"/>
    </row>
    <row r="799">
      <c r="F799" s="48"/>
      <c r="G799" s="48"/>
    </row>
    <row r="800">
      <c r="F800" s="48"/>
      <c r="G800" s="48"/>
    </row>
    <row r="801">
      <c r="F801" s="48"/>
      <c r="G801" s="48"/>
    </row>
    <row r="802">
      <c r="F802" s="48"/>
      <c r="G802" s="48"/>
    </row>
    <row r="803">
      <c r="F803" s="48"/>
      <c r="G803" s="48"/>
    </row>
    <row r="804">
      <c r="F804" s="48"/>
      <c r="G804" s="48"/>
    </row>
    <row r="805">
      <c r="F805" s="48"/>
      <c r="G805" s="48"/>
    </row>
    <row r="806">
      <c r="F806" s="48"/>
      <c r="G806" s="48"/>
    </row>
    <row r="807">
      <c r="F807" s="48"/>
      <c r="G807" s="48"/>
    </row>
    <row r="808">
      <c r="F808" s="48"/>
      <c r="G808" s="48"/>
    </row>
    <row r="809">
      <c r="F809" s="48"/>
      <c r="G809" s="48"/>
    </row>
    <row r="810">
      <c r="F810" s="48"/>
      <c r="G810" s="48"/>
    </row>
    <row r="811">
      <c r="F811" s="48"/>
      <c r="G811" s="48"/>
    </row>
    <row r="812">
      <c r="F812" s="48"/>
      <c r="G812" s="48"/>
    </row>
    <row r="813">
      <c r="F813" s="48"/>
      <c r="G813" s="48"/>
    </row>
    <row r="814">
      <c r="F814" s="48"/>
      <c r="G814" s="48"/>
    </row>
    <row r="815">
      <c r="F815" s="48"/>
      <c r="G815" s="48"/>
    </row>
    <row r="816">
      <c r="F816" s="48"/>
      <c r="G816" s="48"/>
    </row>
    <row r="817">
      <c r="F817" s="48"/>
      <c r="G817" s="48"/>
    </row>
    <row r="818">
      <c r="F818" s="48"/>
      <c r="G818" s="48"/>
    </row>
    <row r="819">
      <c r="F819" s="48"/>
      <c r="G819" s="48"/>
    </row>
    <row r="820">
      <c r="F820" s="48"/>
      <c r="G820" s="48"/>
    </row>
    <row r="821">
      <c r="F821" s="48"/>
      <c r="G821" s="48"/>
    </row>
    <row r="822">
      <c r="F822" s="48"/>
      <c r="G822" s="48"/>
    </row>
    <row r="823">
      <c r="F823" s="48"/>
      <c r="G823" s="48"/>
    </row>
    <row r="824">
      <c r="F824" s="48"/>
      <c r="G824" s="48"/>
    </row>
    <row r="825">
      <c r="F825" s="48"/>
      <c r="G825" s="48"/>
    </row>
    <row r="826">
      <c r="F826" s="48"/>
      <c r="G826" s="48"/>
    </row>
    <row r="827">
      <c r="F827" s="48"/>
      <c r="G827" s="48"/>
    </row>
    <row r="828">
      <c r="F828" s="48"/>
      <c r="G828" s="48"/>
    </row>
    <row r="829">
      <c r="F829" s="48"/>
      <c r="G829" s="48"/>
    </row>
    <row r="830">
      <c r="F830" s="48"/>
      <c r="G830" s="48"/>
    </row>
    <row r="831">
      <c r="F831" s="48"/>
      <c r="G831" s="48"/>
    </row>
    <row r="832">
      <c r="F832" s="48"/>
      <c r="G832" s="48"/>
    </row>
    <row r="833">
      <c r="F833" s="48"/>
      <c r="G833" s="48"/>
    </row>
    <row r="834">
      <c r="F834" s="48"/>
      <c r="G834" s="48"/>
    </row>
    <row r="835">
      <c r="F835" s="48"/>
      <c r="G835" s="48"/>
    </row>
    <row r="836">
      <c r="F836" s="48"/>
      <c r="G836" s="48"/>
    </row>
    <row r="837">
      <c r="F837" s="48"/>
      <c r="G837" s="48"/>
    </row>
    <row r="838">
      <c r="F838" s="48"/>
      <c r="G838" s="48"/>
    </row>
    <row r="839">
      <c r="F839" s="48"/>
      <c r="G839" s="48"/>
    </row>
    <row r="840">
      <c r="F840" s="48"/>
      <c r="G840" s="48"/>
    </row>
    <row r="841">
      <c r="F841" s="48"/>
      <c r="G841" s="48"/>
    </row>
    <row r="842">
      <c r="F842" s="48"/>
      <c r="G842" s="48"/>
    </row>
    <row r="843">
      <c r="F843" s="48"/>
      <c r="G843" s="48"/>
    </row>
    <row r="844">
      <c r="F844" s="48"/>
      <c r="G844" s="48"/>
    </row>
    <row r="845">
      <c r="F845" s="48"/>
      <c r="G845" s="48"/>
    </row>
    <row r="846">
      <c r="F846" s="48"/>
      <c r="G846" s="48"/>
    </row>
    <row r="847">
      <c r="F847" s="48"/>
      <c r="G847" s="48"/>
    </row>
    <row r="848">
      <c r="F848" s="48"/>
      <c r="G848" s="48"/>
    </row>
    <row r="849">
      <c r="F849" s="48"/>
      <c r="G849" s="48"/>
    </row>
    <row r="850">
      <c r="F850" s="48"/>
      <c r="G850" s="48"/>
    </row>
    <row r="851">
      <c r="F851" s="48"/>
      <c r="G851" s="48"/>
    </row>
    <row r="852">
      <c r="F852" s="48"/>
      <c r="G852" s="48"/>
    </row>
    <row r="853">
      <c r="F853" s="48"/>
      <c r="G853" s="48"/>
    </row>
    <row r="854">
      <c r="F854" s="48"/>
      <c r="G854" s="48"/>
    </row>
    <row r="855">
      <c r="F855" s="48"/>
      <c r="G855" s="48"/>
    </row>
    <row r="856">
      <c r="F856" s="48"/>
      <c r="G856" s="48"/>
    </row>
    <row r="857">
      <c r="F857" s="48"/>
      <c r="G857" s="48"/>
    </row>
    <row r="858">
      <c r="F858" s="48"/>
      <c r="G858" s="48"/>
    </row>
    <row r="859">
      <c r="F859" s="48"/>
      <c r="G859" s="48"/>
    </row>
    <row r="860">
      <c r="F860" s="48"/>
      <c r="G860" s="48"/>
    </row>
    <row r="861">
      <c r="F861" s="48"/>
      <c r="G861" s="48"/>
    </row>
    <row r="862">
      <c r="F862" s="48"/>
      <c r="G862" s="48"/>
    </row>
    <row r="863">
      <c r="F863" s="48"/>
      <c r="G863" s="48"/>
    </row>
    <row r="864">
      <c r="F864" s="48"/>
      <c r="G864" s="48"/>
    </row>
    <row r="865">
      <c r="F865" s="48"/>
      <c r="G865" s="48"/>
    </row>
    <row r="866">
      <c r="F866" s="48"/>
      <c r="G866" s="48"/>
    </row>
    <row r="867">
      <c r="F867" s="48"/>
      <c r="G867" s="48"/>
    </row>
    <row r="868">
      <c r="F868" s="48"/>
      <c r="G868" s="48"/>
    </row>
    <row r="869">
      <c r="F869" s="48"/>
      <c r="G869" s="48"/>
    </row>
    <row r="870">
      <c r="F870" s="48"/>
      <c r="G870" s="48"/>
    </row>
    <row r="871">
      <c r="F871" s="48"/>
      <c r="G871" s="48"/>
    </row>
    <row r="872">
      <c r="F872" s="48"/>
      <c r="G872" s="48"/>
    </row>
    <row r="873">
      <c r="F873" s="48"/>
      <c r="G873" s="48"/>
    </row>
    <row r="874">
      <c r="F874" s="48"/>
      <c r="G874" s="48"/>
    </row>
    <row r="875">
      <c r="F875" s="48"/>
      <c r="G875" s="48"/>
    </row>
    <row r="876">
      <c r="F876" s="48"/>
      <c r="G876" s="48"/>
    </row>
    <row r="877">
      <c r="F877" s="48"/>
      <c r="G877" s="48"/>
    </row>
    <row r="878">
      <c r="F878" s="48"/>
      <c r="G878" s="48"/>
    </row>
    <row r="879">
      <c r="F879" s="48"/>
      <c r="G879" s="48"/>
    </row>
    <row r="880">
      <c r="F880" s="48"/>
      <c r="G880" s="48"/>
    </row>
    <row r="881">
      <c r="F881" s="48"/>
      <c r="G881" s="48"/>
    </row>
    <row r="882">
      <c r="F882" s="48"/>
      <c r="G882" s="48"/>
    </row>
    <row r="883">
      <c r="F883" s="48"/>
      <c r="G883" s="48"/>
    </row>
    <row r="884">
      <c r="F884" s="48"/>
      <c r="G884" s="48"/>
    </row>
    <row r="885">
      <c r="F885" s="48"/>
      <c r="G885" s="48"/>
    </row>
    <row r="886">
      <c r="F886" s="48"/>
      <c r="G886" s="48"/>
    </row>
    <row r="887">
      <c r="F887" s="48"/>
      <c r="G887" s="48"/>
    </row>
    <row r="888">
      <c r="F888" s="48"/>
      <c r="G888" s="48"/>
    </row>
    <row r="889">
      <c r="F889" s="48"/>
      <c r="G889" s="48"/>
    </row>
    <row r="890">
      <c r="F890" s="48"/>
      <c r="G890" s="48"/>
    </row>
    <row r="891">
      <c r="F891" s="48"/>
      <c r="G891" s="48"/>
    </row>
    <row r="892">
      <c r="F892" s="48"/>
      <c r="G892" s="48"/>
    </row>
    <row r="893">
      <c r="F893" s="48"/>
      <c r="G893" s="48"/>
    </row>
    <row r="894">
      <c r="F894" s="48"/>
      <c r="G894" s="48"/>
    </row>
    <row r="895">
      <c r="F895" s="48"/>
      <c r="G895" s="48"/>
    </row>
    <row r="896">
      <c r="F896" s="48"/>
      <c r="G896" s="48"/>
    </row>
    <row r="897">
      <c r="F897" s="48"/>
      <c r="G897" s="48"/>
    </row>
    <row r="898">
      <c r="F898" s="48"/>
      <c r="G898" s="48"/>
    </row>
    <row r="899">
      <c r="F899" s="48"/>
      <c r="G899" s="48"/>
    </row>
    <row r="900">
      <c r="F900" s="48"/>
      <c r="G900" s="48"/>
    </row>
    <row r="901">
      <c r="F901" s="48"/>
      <c r="G901" s="48"/>
    </row>
    <row r="902">
      <c r="F902" s="48"/>
      <c r="G902" s="48"/>
    </row>
    <row r="903">
      <c r="F903" s="48"/>
      <c r="G903" s="48"/>
    </row>
    <row r="904">
      <c r="F904" s="48"/>
      <c r="G904" s="48"/>
    </row>
    <row r="905">
      <c r="F905" s="48"/>
      <c r="G905" s="48"/>
    </row>
    <row r="906">
      <c r="F906" s="48"/>
      <c r="G906" s="48"/>
    </row>
    <row r="907">
      <c r="F907" s="48"/>
      <c r="G907" s="48"/>
    </row>
    <row r="908">
      <c r="F908" s="48"/>
      <c r="G908" s="48"/>
    </row>
    <row r="909">
      <c r="F909" s="48"/>
      <c r="G909" s="48"/>
    </row>
    <row r="910">
      <c r="F910" s="48"/>
      <c r="G910" s="48"/>
    </row>
    <row r="911">
      <c r="F911" s="48"/>
      <c r="G911" s="48"/>
    </row>
    <row r="912">
      <c r="F912" s="48"/>
      <c r="G912" s="48"/>
    </row>
    <row r="913">
      <c r="F913" s="48"/>
      <c r="G913" s="48"/>
    </row>
    <row r="914">
      <c r="F914" s="48"/>
      <c r="G914" s="48"/>
    </row>
    <row r="915">
      <c r="F915" s="48"/>
      <c r="G915" s="48"/>
    </row>
    <row r="916">
      <c r="F916" s="48"/>
      <c r="G916" s="48"/>
    </row>
    <row r="917">
      <c r="F917" s="48"/>
      <c r="G917" s="48"/>
    </row>
    <row r="918">
      <c r="F918" s="48"/>
      <c r="G918" s="48"/>
    </row>
    <row r="919">
      <c r="F919" s="48"/>
      <c r="G919" s="48"/>
    </row>
    <row r="920">
      <c r="F920" s="48"/>
      <c r="G920" s="48"/>
    </row>
    <row r="921">
      <c r="F921" s="48"/>
      <c r="G921" s="48"/>
    </row>
    <row r="922">
      <c r="F922" s="48"/>
      <c r="G922" s="48"/>
    </row>
    <row r="923">
      <c r="F923" s="48"/>
      <c r="G923" s="48"/>
    </row>
    <row r="924">
      <c r="F924" s="48"/>
      <c r="G924" s="48"/>
    </row>
    <row r="925">
      <c r="F925" s="48"/>
      <c r="G925" s="48"/>
    </row>
    <row r="926">
      <c r="F926" s="48"/>
      <c r="G926" s="48"/>
    </row>
    <row r="927">
      <c r="F927" s="48"/>
      <c r="G927" s="48"/>
    </row>
    <row r="928">
      <c r="F928" s="48"/>
      <c r="G928" s="48"/>
    </row>
    <row r="929">
      <c r="F929" s="48"/>
      <c r="G929" s="48"/>
    </row>
    <row r="930">
      <c r="F930" s="48"/>
      <c r="G930" s="48"/>
    </row>
    <row r="931">
      <c r="F931" s="48"/>
      <c r="G931" s="48"/>
    </row>
    <row r="932">
      <c r="F932" s="48"/>
      <c r="G932" s="48"/>
    </row>
    <row r="933">
      <c r="F933" s="48"/>
      <c r="G933" s="48"/>
    </row>
    <row r="934">
      <c r="F934" s="48"/>
      <c r="G934" s="48"/>
    </row>
    <row r="935">
      <c r="F935" s="48"/>
      <c r="G935" s="48"/>
    </row>
    <row r="936">
      <c r="F936" s="48"/>
      <c r="G936" s="48"/>
    </row>
    <row r="937">
      <c r="F937" s="48"/>
      <c r="G937" s="48"/>
    </row>
    <row r="938">
      <c r="F938" s="48"/>
      <c r="G938" s="48"/>
    </row>
    <row r="939">
      <c r="F939" s="48"/>
      <c r="G939" s="48"/>
    </row>
    <row r="940">
      <c r="F940" s="48"/>
      <c r="G940" s="48"/>
    </row>
    <row r="941">
      <c r="F941" s="48"/>
      <c r="G941" s="48"/>
    </row>
    <row r="942">
      <c r="F942" s="48"/>
      <c r="G942" s="48"/>
    </row>
    <row r="943">
      <c r="F943" s="48"/>
      <c r="G943" s="48"/>
    </row>
    <row r="944">
      <c r="F944" s="48"/>
      <c r="G944" s="48"/>
    </row>
    <row r="945">
      <c r="F945" s="48"/>
      <c r="G945" s="48"/>
    </row>
    <row r="946">
      <c r="F946" s="48"/>
      <c r="G946" s="48"/>
    </row>
    <row r="947">
      <c r="F947" s="48"/>
      <c r="G947" s="48"/>
    </row>
    <row r="948">
      <c r="F948" s="48"/>
      <c r="G948" s="48"/>
    </row>
    <row r="949">
      <c r="F949" s="48"/>
      <c r="G949" s="48"/>
    </row>
    <row r="950">
      <c r="F950" s="48"/>
      <c r="G950" s="48"/>
    </row>
    <row r="951">
      <c r="F951" s="48"/>
      <c r="G951" s="48"/>
    </row>
    <row r="952">
      <c r="F952" s="48"/>
      <c r="G952" s="48"/>
    </row>
    <row r="953">
      <c r="F953" s="48"/>
      <c r="G953" s="48"/>
    </row>
    <row r="954">
      <c r="F954" s="48"/>
      <c r="G954" s="48"/>
    </row>
    <row r="955">
      <c r="F955" s="48"/>
      <c r="G955" s="48"/>
    </row>
    <row r="956">
      <c r="F956" s="48"/>
      <c r="G956" s="48"/>
    </row>
    <row r="957">
      <c r="F957" s="48"/>
      <c r="G957" s="48"/>
    </row>
    <row r="958">
      <c r="F958" s="48"/>
      <c r="G958" s="48"/>
    </row>
    <row r="959">
      <c r="F959" s="48"/>
      <c r="G959" s="48"/>
    </row>
    <row r="960">
      <c r="F960" s="48"/>
      <c r="G960" s="48"/>
    </row>
    <row r="961">
      <c r="F961" s="48"/>
      <c r="G961" s="48"/>
    </row>
    <row r="962">
      <c r="F962" s="48"/>
      <c r="G962" s="48"/>
    </row>
    <row r="963">
      <c r="F963" s="48"/>
      <c r="G963" s="48"/>
    </row>
    <row r="964">
      <c r="F964" s="48"/>
      <c r="G964" s="48"/>
    </row>
    <row r="965">
      <c r="F965" s="48"/>
      <c r="G965" s="48"/>
    </row>
    <row r="966">
      <c r="F966" s="48"/>
      <c r="G966" s="48"/>
    </row>
    <row r="967">
      <c r="F967" s="48"/>
      <c r="G967" s="48"/>
    </row>
    <row r="968">
      <c r="F968" s="48"/>
      <c r="G968" s="48"/>
    </row>
    <row r="969">
      <c r="F969" s="48"/>
      <c r="G969" s="48"/>
    </row>
    <row r="970">
      <c r="F970" s="48"/>
      <c r="G970" s="48"/>
    </row>
    <row r="971">
      <c r="F971" s="48"/>
      <c r="G971" s="48"/>
    </row>
    <row r="972">
      <c r="F972" s="48"/>
      <c r="G972" s="48"/>
    </row>
    <row r="973">
      <c r="F973" s="48"/>
      <c r="G973" s="48"/>
    </row>
    <row r="974">
      <c r="F974" s="48"/>
      <c r="G974" s="48"/>
    </row>
    <row r="975">
      <c r="F975" s="48"/>
      <c r="G975" s="48"/>
    </row>
    <row r="976">
      <c r="F976" s="48"/>
      <c r="G976" s="48"/>
    </row>
    <row r="977">
      <c r="F977" s="48"/>
      <c r="G977" s="48"/>
    </row>
    <row r="978">
      <c r="F978" s="48"/>
      <c r="G978" s="48"/>
    </row>
    <row r="979">
      <c r="F979" s="48"/>
      <c r="G979" s="48"/>
    </row>
    <row r="980">
      <c r="F980" s="48"/>
      <c r="G980" s="48"/>
    </row>
    <row r="981">
      <c r="F981" s="48"/>
      <c r="G981" s="48"/>
    </row>
    <row r="982">
      <c r="F982" s="48"/>
      <c r="G982" s="48"/>
    </row>
    <row r="983">
      <c r="F983" s="48"/>
      <c r="G983" s="48"/>
    </row>
    <row r="984">
      <c r="F984" s="48"/>
      <c r="G984" s="48"/>
    </row>
    <row r="985">
      <c r="F985" s="48"/>
      <c r="G985" s="48"/>
    </row>
    <row r="986">
      <c r="F986" s="48"/>
      <c r="G986" s="48"/>
    </row>
    <row r="987">
      <c r="F987" s="48"/>
      <c r="G987" s="48"/>
    </row>
    <row r="988">
      <c r="F988" s="48"/>
      <c r="G988" s="48"/>
    </row>
    <row r="989">
      <c r="F989" s="48"/>
      <c r="G989" s="48"/>
    </row>
    <row r="990">
      <c r="F990" s="48"/>
      <c r="G990" s="48"/>
    </row>
    <row r="991">
      <c r="F991" s="48"/>
      <c r="G991" s="48"/>
    </row>
    <row r="992">
      <c r="F992" s="48"/>
      <c r="G992" s="48"/>
    </row>
    <row r="993">
      <c r="F993" s="48"/>
      <c r="G993" s="48"/>
    </row>
    <row r="994">
      <c r="F994" s="48"/>
      <c r="G994" s="48"/>
    </row>
    <row r="995">
      <c r="F995" s="48"/>
      <c r="G995" s="48"/>
    </row>
    <row r="996">
      <c r="F996" s="48"/>
      <c r="G996" s="48"/>
    </row>
    <row r="997">
      <c r="F997" s="48"/>
      <c r="G997" s="48"/>
    </row>
    <row r="998">
      <c r="F998" s="48"/>
      <c r="G998" s="48"/>
    </row>
    <row r="999">
      <c r="F999" s="48"/>
      <c r="G999" s="48"/>
    </row>
    <row r="1000">
      <c r="F1000" s="48"/>
      <c r="G1000" s="48"/>
    </row>
  </sheetData>
  <drawing r:id="rId3"/>
</worksheet>
</file>